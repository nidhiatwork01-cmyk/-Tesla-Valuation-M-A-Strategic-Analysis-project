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storical Financials" sheetId="1" state="visible" r:id="rId1"/>
    <sheet xmlns:r="http://schemas.openxmlformats.org/officeDocument/2006/relationships" name="DCF Model" sheetId="2" state="visible" r:id="rId2"/>
    <sheet xmlns:r="http://schemas.openxmlformats.org/officeDocument/2006/relationships" name="Comparable Analysis" sheetId="3" state="visible" r:id="rId3"/>
    <sheet xmlns:r="http://schemas.openxmlformats.org/officeDocument/2006/relationships" name="Sensitivity 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%"/>
    <numFmt numFmtId="165" formatCode="#,##0.0"/>
    <numFmt numFmtId="166" formatCode="0.0000"/>
    <numFmt numFmtId="167" formatCode="$#,##0.00"/>
    <numFmt numFmtId="168" formatCode="0.0&quot;x&quot;"/>
  </numFmts>
  <fonts count="7">
    <font>
      <name val="Calibri"/>
      <family val="2"/>
      <color theme="1"/>
      <sz val="11"/>
      <scheme val="minor"/>
    </font>
    <font>
      <name val="Calibri"/>
      <b val="1"/>
      <color rgb="00003366"/>
      <sz val="14"/>
    </font>
    <font>
      <name val="Calibri"/>
      <i val="1"/>
      <color rgb="00666666"/>
      <sz val="9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003366"/>
      <sz val="11"/>
    </font>
    <font>
      <name val="Calibri"/>
      <b val="1"/>
      <color rgb="00CC0000"/>
    </font>
  </fonts>
  <fills count="7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DCE6F1"/>
        <bgColor rgb="00DCE6F1"/>
      </patternFill>
    </fill>
    <fill>
      <patternFill patternType="solid">
        <fgColor rgb="00E2EFDA"/>
        <bgColor rgb="00E2EFDA"/>
      </patternFill>
    </fill>
    <fill>
      <patternFill patternType="solid">
        <fgColor rgb="00FFF9C4"/>
        <bgColor rgb="00FFF9C4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D0D0D0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3" fontId="4" fillId="0" borderId="1" applyAlignment="1" pivotButton="0" quotePrefix="0" xfId="0">
      <alignment horizontal="right" vertical="center"/>
    </xf>
    <xf numFmtId="0" fontId="5" fillId="3" borderId="1" applyAlignment="1" pivotButton="0" quotePrefix="0" xfId="0">
      <alignment horizontal="left" vertical="center"/>
    </xf>
    <xf numFmtId="3" fontId="4" fillId="3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/>
    </xf>
    <xf numFmtId="3" fontId="4" fillId="4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left" vertical="center"/>
    </xf>
    <xf numFmtId="164" fontId="4" fillId="5" borderId="1" applyAlignment="1" pivotButton="0" quotePrefix="0" xfId="0">
      <alignment horizontal="right" vertical="center"/>
    </xf>
    <xf numFmtId="3" fontId="4" fillId="5" borderId="1" applyAlignment="1" pivotButton="0" quotePrefix="0" xfId="0">
      <alignment horizontal="right" vertical="center"/>
    </xf>
    <xf numFmtId="10" fontId="4" fillId="0" borderId="1" applyAlignment="1" pivotButton="0" quotePrefix="0" xfId="0">
      <alignment horizontal="right" vertical="center"/>
    </xf>
    <xf numFmtId="165" fontId="4" fillId="0" borderId="1" applyAlignment="1" pivotButton="0" quotePrefix="0" xfId="0">
      <alignment horizontal="right" vertical="center"/>
    </xf>
    <xf numFmtId="10" fontId="4" fillId="4" borderId="1" applyAlignment="1" pivotButton="0" quotePrefix="0" xfId="0">
      <alignment horizontal="right" vertical="center"/>
    </xf>
    <xf numFmtId="164" fontId="4" fillId="0" borderId="1" applyAlignment="1" pivotButton="0" quotePrefix="0" xfId="0">
      <alignment horizontal="right" vertical="center"/>
    </xf>
    <xf numFmtId="166" fontId="4" fillId="0" borderId="1" applyAlignment="1" pivotButton="0" quotePrefix="0" xfId="0">
      <alignment horizontal="right" vertical="center"/>
    </xf>
    <xf numFmtId="167" fontId="4" fillId="4" borderId="1" applyAlignment="1" pivotButton="0" quotePrefix="0" xfId="0">
      <alignment horizontal="right" vertical="center"/>
    </xf>
    <xf numFmtId="167" fontId="4" fillId="0" borderId="1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right" vertical="center"/>
    </xf>
    <xf numFmtId="168" fontId="4" fillId="0" borderId="0" applyAlignment="1" pivotButton="0" quotePrefix="0" xfId="0">
      <alignment horizontal="right" vertical="center"/>
    </xf>
    <xf numFmtId="164" fontId="4" fillId="0" borderId="0" applyAlignment="1" pivotButton="0" quotePrefix="0" xfId="0">
      <alignment horizontal="right" vertical="center"/>
    </xf>
    <xf numFmtId="0" fontId="3" fillId="6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168" fontId="0" fillId="0" borderId="0" applyAlignment="1" pivotButton="0" quotePrefix="0" xfId="0">
      <alignment horizontal="right" vertical="center"/>
    </xf>
    <xf numFmtId="3" fontId="0" fillId="0" borderId="0" applyAlignment="1" pivotButton="0" quotePrefix="0" xfId="0">
      <alignment horizontal="right" vertical="center"/>
    </xf>
    <xf numFmtId="167" fontId="0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center" vertical="center"/>
    </xf>
    <xf numFmtId="167" fontId="6" fillId="0" borderId="0" applyAlignment="1" pivotButton="0" quotePrefix="0" xfId="0">
      <alignment horizontal="center" vertical="center"/>
    </xf>
    <xf numFmtId="167" fontId="6" fillId="5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167" fontId="6" fillId="4" borderId="0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3366"/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cols>
    <col width="3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Zomato Limited (ZOMATO) — Historical Financial Summary</t>
        </is>
      </c>
    </row>
    <row r="2">
      <c r="A2" s="2" t="inlineStr">
        <is>
          <t>INR Crores (₹ Cr)</t>
        </is>
      </c>
    </row>
    <row r="4">
      <c r="A4" s="1" t="inlineStr">
        <is>
          <t>Income Statement</t>
        </is>
      </c>
    </row>
    <row r="5">
      <c r="A5" s="3" t="inlineStr">
        <is>
          <t>Metric</t>
        </is>
      </c>
      <c r="B5" s="3" t="inlineStr">
        <is>
          <t>FY2021</t>
        </is>
      </c>
      <c r="C5" s="3" t="inlineStr">
        <is>
          <t>FY2022</t>
        </is>
      </c>
      <c r="D5" s="3" t="inlineStr">
        <is>
          <t>FY2023</t>
        </is>
      </c>
      <c r="E5" s="3" t="inlineStr">
        <is>
          <t>FY2024</t>
        </is>
      </c>
      <c r="F5" s="3" t="inlineStr">
        <is>
          <t>FY2025E</t>
        </is>
      </c>
    </row>
    <row r="6">
      <c r="A6" s="4" t="inlineStr">
        <is>
          <t>Revenue</t>
        </is>
      </c>
      <c r="B6" s="5" t="n">
        <v>1994</v>
      </c>
      <c r="C6" s="5" t="n">
        <v>4192</v>
      </c>
      <c r="D6" s="5" t="n">
        <v>7079</v>
      </c>
      <c r="E6" s="5" t="n">
        <v>12114</v>
      </c>
      <c r="F6" s="5" t="n">
        <v>20500</v>
      </c>
    </row>
    <row r="7">
      <c r="A7" s="4" t="inlineStr">
        <is>
          <t xml:space="preserve">  Cost of Revenue</t>
        </is>
      </c>
      <c r="B7" s="5" t="n">
        <v>1103</v>
      </c>
      <c r="C7" s="5" t="n">
        <v>2378</v>
      </c>
      <c r="D7" s="5" t="n">
        <v>4140</v>
      </c>
      <c r="E7" s="5" t="n">
        <v>6890</v>
      </c>
      <c r="F7" s="5" t="n">
        <v>11480</v>
      </c>
    </row>
    <row r="8">
      <c r="A8" s="6" t="inlineStr">
        <is>
          <t>Gross Profit</t>
        </is>
      </c>
      <c r="B8" s="7" t="n">
        <v>891</v>
      </c>
      <c r="C8" s="7" t="n">
        <v>1814</v>
      </c>
      <c r="D8" s="7" t="n">
        <v>2939</v>
      </c>
      <c r="E8" s="7" t="n">
        <v>5224</v>
      </c>
      <c r="F8" s="7" t="n">
        <v>9020</v>
      </c>
    </row>
    <row r="9">
      <c r="A9" s="4" t="inlineStr">
        <is>
          <t xml:space="preserve">  R&amp;D Expense</t>
        </is>
      </c>
      <c r="B9" s="5" t="n">
        <v>145</v>
      </c>
      <c r="C9" s="5" t="n">
        <v>252</v>
      </c>
      <c r="D9" s="5" t="n">
        <v>330</v>
      </c>
      <c r="E9" s="5" t="n">
        <v>480</v>
      </c>
      <c r="F9" s="5" t="n">
        <v>720</v>
      </c>
    </row>
    <row r="10">
      <c r="A10" s="4" t="inlineStr">
        <is>
          <t xml:space="preserve">  SG&amp;A Expense</t>
        </is>
      </c>
      <c r="B10" s="5" t="n">
        <v>1213</v>
      </c>
      <c r="C10" s="5" t="n">
        <v>2412</v>
      </c>
      <c r="D10" s="5" t="n">
        <v>3320</v>
      </c>
      <c r="E10" s="5" t="n">
        <v>4072</v>
      </c>
      <c r="F10" s="5" t="n">
        <v>6200</v>
      </c>
    </row>
    <row r="11">
      <c r="A11" s="8" t="inlineStr">
        <is>
          <t>Operating Income (EBIT)</t>
        </is>
      </c>
      <c r="B11" s="5" t="n">
        <v>-605</v>
      </c>
      <c r="C11" s="5" t="n">
        <v>-994</v>
      </c>
      <c r="D11" s="5" t="n">
        <v>-1154</v>
      </c>
      <c r="E11" s="5" t="n">
        <v>112</v>
      </c>
      <c r="F11" s="5" t="n">
        <v>1420</v>
      </c>
    </row>
    <row r="12">
      <c r="A12" s="4" t="inlineStr">
        <is>
          <t xml:space="preserve">  Depreciation &amp; Amort.</t>
        </is>
      </c>
      <c r="B12" s="5" t="n">
        <v>138</v>
      </c>
      <c r="C12" s="5" t="n">
        <v>148</v>
      </c>
      <c r="D12" s="5" t="n">
        <v>443</v>
      </c>
      <c r="E12" s="5" t="n">
        <v>560</v>
      </c>
      <c r="F12" s="5" t="n">
        <v>680</v>
      </c>
    </row>
    <row r="13">
      <c r="A13" s="6" t="inlineStr">
        <is>
          <t>EBITDA</t>
        </is>
      </c>
      <c r="B13" s="7" t="n">
        <v>-467</v>
      </c>
      <c r="C13" s="7" t="n">
        <v>-846</v>
      </c>
      <c r="D13" s="7" t="n">
        <v>-711</v>
      </c>
      <c r="E13" s="7" t="n">
        <v>672</v>
      </c>
      <c r="F13" s="7" t="n">
        <v>2100</v>
      </c>
    </row>
    <row r="14">
      <c r="A14" s="4" t="inlineStr">
        <is>
          <t xml:space="preserve">  Interest Expense</t>
        </is>
      </c>
      <c r="B14" s="5" t="n">
        <v>12</v>
      </c>
      <c r="C14" s="5" t="n">
        <v>15</v>
      </c>
      <c r="D14" s="5" t="n">
        <v>48</v>
      </c>
      <c r="E14" s="5" t="n">
        <v>62</v>
      </c>
      <c r="F14" s="5" t="n">
        <v>75</v>
      </c>
    </row>
    <row r="15">
      <c r="A15" s="4" t="inlineStr">
        <is>
          <t xml:space="preserve">  Tax Expense</t>
        </is>
      </c>
      <c r="B15" s="5" t="n">
        <v>0</v>
      </c>
      <c r="C15" s="5" t="n">
        <v>0</v>
      </c>
      <c r="D15" s="5" t="n">
        <v>0</v>
      </c>
      <c r="E15" s="5" t="n">
        <v>85</v>
      </c>
      <c r="F15" s="5" t="n">
        <v>310</v>
      </c>
    </row>
    <row r="16">
      <c r="A16" s="9" t="inlineStr">
        <is>
          <t>Net Income</t>
        </is>
      </c>
      <c r="B16" s="10" t="n">
        <v>-816</v>
      </c>
      <c r="C16" s="10" t="n">
        <v>-1222</v>
      </c>
      <c r="D16" s="10" t="n">
        <v>-971</v>
      </c>
      <c r="E16" s="10" t="n">
        <v>351</v>
      </c>
      <c r="F16" s="10" t="n">
        <v>1750</v>
      </c>
    </row>
    <row r="18">
      <c r="A18" s="1" t="inlineStr">
        <is>
          <t>Key Margins</t>
        </is>
      </c>
    </row>
    <row r="19">
      <c r="A19" s="3" t="inlineStr">
        <is>
          <t>Metric</t>
        </is>
      </c>
      <c r="B19" s="3" t="inlineStr">
        <is>
          <t>FY2021</t>
        </is>
      </c>
      <c r="C19" s="3" t="inlineStr">
        <is>
          <t>FY2022</t>
        </is>
      </c>
      <c r="D19" s="3" t="inlineStr">
        <is>
          <t>FY2023</t>
        </is>
      </c>
      <c r="E19" s="3" t="inlineStr">
        <is>
          <t>FY2024</t>
        </is>
      </c>
      <c r="F19" s="3" t="inlineStr">
        <is>
          <t>FY2025E</t>
        </is>
      </c>
    </row>
    <row r="20">
      <c r="A20" s="11" t="inlineStr">
        <is>
          <t>Gross Margin</t>
        </is>
      </c>
      <c r="B20" s="12" t="n">
        <v>0.4468405215646941</v>
      </c>
      <c r="C20" s="12" t="n">
        <v>0.4327290076335878</v>
      </c>
      <c r="D20" s="12" t="n">
        <v>0.4151716344116401</v>
      </c>
      <c r="E20" s="12" t="n">
        <v>0.4312365857685323</v>
      </c>
      <c r="F20" s="12" t="n">
        <v>0.44</v>
      </c>
    </row>
    <row r="21">
      <c r="A21" s="11" t="inlineStr">
        <is>
          <t>EBITDA Margin</t>
        </is>
      </c>
      <c r="B21" s="12" t="n">
        <v>-0.2342026078234704</v>
      </c>
      <c r="C21" s="12" t="n">
        <v>-0.2018129770992367</v>
      </c>
      <c r="D21" s="12" t="n">
        <v>-0.1004379149597401</v>
      </c>
      <c r="E21" s="12" t="n">
        <v>0.0554730064388311</v>
      </c>
      <c r="F21" s="12" t="n">
        <v>0.1024390243902439</v>
      </c>
    </row>
    <row r="22">
      <c r="A22" s="11" t="inlineStr">
        <is>
          <t>Operating Margin</t>
        </is>
      </c>
      <c r="B22" s="12" t="n">
        <v>-0.3034102306920762</v>
      </c>
      <c r="C22" s="12" t="n">
        <v>-0.237118320610687</v>
      </c>
      <c r="D22" s="12" t="n">
        <v>-0.1630173753354994</v>
      </c>
      <c r="E22" s="12" t="n">
        <v>0.009245501073138518</v>
      </c>
      <c r="F22" s="12" t="n">
        <v>0.06926829268292684</v>
      </c>
    </row>
    <row r="23">
      <c r="A23" s="11" t="inlineStr">
        <is>
          <t>Net Margin</t>
        </is>
      </c>
      <c r="B23" s="12" t="n">
        <v>-0.4092276830491474</v>
      </c>
      <c r="C23" s="12" t="n">
        <v>-0.2915076335877863</v>
      </c>
      <c r="D23" s="12" t="n">
        <v>-0.137166266421811</v>
      </c>
      <c r="E23" s="12" t="n">
        <v>0.02897473997028232</v>
      </c>
      <c r="F23" s="12" t="n">
        <v>0.08536585365853659</v>
      </c>
    </row>
    <row r="24">
      <c r="A24" s="11" t="inlineStr">
        <is>
          <t>Revenue Growth YoY</t>
        </is>
      </c>
      <c r="B24" s="12" t="n"/>
      <c r="C24" s="12" t="n">
        <v>1.102306920762287</v>
      </c>
      <c r="D24" s="12" t="n">
        <v>0.6886927480916031</v>
      </c>
      <c r="E24" s="12" t="n">
        <v>0.7112586523520271</v>
      </c>
      <c r="F24" s="12" t="n">
        <v>0.6922568928512465</v>
      </c>
    </row>
    <row r="26">
      <c r="A26" s="1" t="inlineStr">
        <is>
          <t>Balance Sheet</t>
        </is>
      </c>
    </row>
    <row r="27">
      <c r="A27" s="3" t="inlineStr">
        <is>
          <t>Metric</t>
        </is>
      </c>
      <c r="B27" s="3" t="inlineStr">
        <is>
          <t>FY2021</t>
        </is>
      </c>
      <c r="C27" s="3" t="inlineStr">
        <is>
          <t>FY2022</t>
        </is>
      </c>
      <c r="D27" s="3" t="inlineStr">
        <is>
          <t>FY2023</t>
        </is>
      </c>
      <c r="E27" s="3" t="inlineStr">
        <is>
          <t>FY2024</t>
        </is>
      </c>
      <c r="F27" s="3" t="inlineStr">
        <is>
          <t>FY2025E</t>
        </is>
      </c>
    </row>
    <row r="28">
      <c r="A28" s="4" t="inlineStr">
        <is>
          <t>Cash &amp; Equivalents</t>
        </is>
      </c>
      <c r="B28" s="5" t="n">
        <v>3150</v>
      </c>
      <c r="C28" s="5" t="n">
        <v>6890</v>
      </c>
      <c r="D28" s="5" t="n">
        <v>11320</v>
      </c>
      <c r="E28" s="5" t="n">
        <v>12240</v>
      </c>
      <c r="F28" s="5" t="n">
        <v>13800</v>
      </c>
    </row>
    <row r="29">
      <c r="A29" s="4" t="inlineStr">
        <is>
          <t>Current Assets</t>
        </is>
      </c>
      <c r="B29" s="5" t="n">
        <v>4200</v>
      </c>
      <c r="C29" s="5" t="n">
        <v>8400</v>
      </c>
      <c r="D29" s="5" t="n">
        <v>13100</v>
      </c>
      <c r="E29" s="5" t="n">
        <v>14500</v>
      </c>
      <c r="F29" s="5" t="n">
        <v>16900</v>
      </c>
    </row>
    <row r="30">
      <c r="A30" s="6" t="inlineStr">
        <is>
          <t>Total Assets</t>
        </is>
      </c>
      <c r="B30" s="7" t="n">
        <v>8700</v>
      </c>
      <c r="C30" s="7" t="n">
        <v>16500</v>
      </c>
      <c r="D30" s="7" t="n">
        <v>21500</v>
      </c>
      <c r="E30" s="7" t="n">
        <v>24100</v>
      </c>
      <c r="F30" s="7" t="n">
        <v>28200</v>
      </c>
    </row>
    <row r="31">
      <c r="A31" s="4" t="inlineStr">
        <is>
          <t>Current Liabilities</t>
        </is>
      </c>
      <c r="B31" s="5" t="n">
        <v>1200</v>
      </c>
      <c r="C31" s="5" t="n">
        <v>2100</v>
      </c>
      <c r="D31" s="5" t="n">
        <v>2700</v>
      </c>
      <c r="E31" s="5" t="n">
        <v>3100</v>
      </c>
      <c r="F31" s="5" t="n">
        <v>3800</v>
      </c>
    </row>
    <row r="32">
      <c r="A32" s="4" t="inlineStr">
        <is>
          <t>Total Debt</t>
        </is>
      </c>
      <c r="B32" s="5" t="n">
        <v>45</v>
      </c>
      <c r="C32" s="5" t="n">
        <v>60</v>
      </c>
      <c r="D32" s="5" t="n">
        <v>180</v>
      </c>
      <c r="E32" s="5" t="n">
        <v>220</v>
      </c>
      <c r="F32" s="5" t="n">
        <v>250</v>
      </c>
    </row>
    <row r="33">
      <c r="A33" s="9" t="inlineStr">
        <is>
          <t>Total Equity</t>
        </is>
      </c>
      <c r="B33" s="10" t="n">
        <v>7455</v>
      </c>
      <c r="C33" s="10" t="n">
        <v>14340</v>
      </c>
      <c r="D33" s="10" t="n">
        <v>18620</v>
      </c>
      <c r="E33" s="10" t="n">
        <v>20780</v>
      </c>
      <c r="F33" s="10" t="n">
        <v>24150</v>
      </c>
    </row>
    <row r="34">
      <c r="A34" s="11" t="inlineStr">
        <is>
          <t>Net Working Capital</t>
        </is>
      </c>
      <c r="B34" s="13" t="n">
        <v>3000</v>
      </c>
      <c r="C34" s="13" t="n">
        <v>6300</v>
      </c>
      <c r="D34" s="13" t="n">
        <v>10400</v>
      </c>
      <c r="E34" s="13" t="n">
        <v>11400</v>
      </c>
      <c r="F34" s="13" t="n">
        <v>13100</v>
      </c>
    </row>
    <row r="35">
      <c r="A35" s="11" t="inlineStr">
        <is>
          <t>Return on Equity (ROE)</t>
        </is>
      </c>
      <c r="B35" s="12" t="n">
        <v>-0.1094567404426559</v>
      </c>
      <c r="C35" s="12" t="n">
        <v>-0.08521617852161785</v>
      </c>
      <c r="D35" s="12" t="n">
        <v>-0.05214822771213749</v>
      </c>
      <c r="E35" s="12" t="n">
        <v>0.01689124157844081</v>
      </c>
      <c r="F35" s="12" t="n">
        <v>0.07246376811594203</v>
      </c>
    </row>
    <row r="37">
      <c r="A37" s="1" t="inlineStr">
        <is>
          <t>Cash Flow Statement</t>
        </is>
      </c>
    </row>
    <row r="38">
      <c r="A38" s="3" t="inlineStr">
        <is>
          <t>Metric</t>
        </is>
      </c>
      <c r="B38" s="3" t="inlineStr">
        <is>
          <t>FY2021</t>
        </is>
      </c>
      <c r="C38" s="3" t="inlineStr">
        <is>
          <t>FY2022</t>
        </is>
      </c>
      <c r="D38" s="3" t="inlineStr">
        <is>
          <t>FY2023</t>
        </is>
      </c>
      <c r="E38" s="3" t="inlineStr">
        <is>
          <t>FY2024</t>
        </is>
      </c>
      <c r="F38" s="3" t="inlineStr">
        <is>
          <t>FY2025E</t>
        </is>
      </c>
    </row>
    <row r="39">
      <c r="A39" s="4" t="inlineStr">
        <is>
          <t>Operating Cash Flow</t>
        </is>
      </c>
      <c r="B39" s="5" t="n">
        <v>-580</v>
      </c>
      <c r="C39" s="5" t="n">
        <v>-790</v>
      </c>
      <c r="D39" s="5" t="n">
        <v>-420</v>
      </c>
      <c r="E39" s="5" t="n">
        <v>860</v>
      </c>
      <c r="F39" s="5" t="n">
        <v>2400</v>
      </c>
    </row>
    <row r="40">
      <c r="A40" s="4" t="inlineStr">
        <is>
          <t>Capital Expenditures</t>
        </is>
      </c>
      <c r="B40" s="5" t="n">
        <v>-110</v>
      </c>
      <c r="C40" s="5" t="n">
        <v>-140</v>
      </c>
      <c r="D40" s="5" t="n">
        <v>-210</v>
      </c>
      <c r="E40" s="5" t="n">
        <v>-380</v>
      </c>
      <c r="F40" s="5" t="n">
        <v>-650</v>
      </c>
    </row>
    <row r="41">
      <c r="A41" s="9" t="inlineStr">
        <is>
          <t>Free Cash Flow</t>
        </is>
      </c>
      <c r="B41" s="10" t="n">
        <v>-690</v>
      </c>
      <c r="C41" s="10" t="n">
        <v>-930</v>
      </c>
      <c r="D41" s="10" t="n">
        <v>-630</v>
      </c>
      <c r="E41" s="10" t="n">
        <v>480</v>
      </c>
      <c r="F41" s="10" t="n">
        <v>1750</v>
      </c>
    </row>
    <row r="42">
      <c r="A42" s="11" t="inlineStr">
        <is>
          <t>Shares Outstanding (M)</t>
        </is>
      </c>
      <c r="B42" s="13" t="n">
        <v>8830</v>
      </c>
      <c r="C42" s="13" t="n">
        <v>8830</v>
      </c>
      <c r="D42" s="13" t="n">
        <v>8830</v>
      </c>
      <c r="E42" s="13" t="n">
        <v>8830</v>
      </c>
      <c r="F42" s="13" t="n">
        <v>8830</v>
      </c>
    </row>
  </sheetData>
  <mergeCells count="5">
    <mergeCell ref="A1:F1"/>
    <mergeCell ref="A37:F37"/>
    <mergeCell ref="A18:F18"/>
    <mergeCell ref="A4:F4"/>
    <mergeCell ref="A26:F2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C0000"/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Discounted Cash Flow (DCF) Valuation Model</t>
        </is>
      </c>
    </row>
    <row r="2">
      <c r="A2" s="2" t="inlineStr">
        <is>
          <t>5-Year projection with Gordon Growth Terminal Value</t>
        </is>
      </c>
    </row>
    <row r="4">
      <c r="A4" s="1" t="inlineStr">
        <is>
          <t>WACC Calculation</t>
        </is>
      </c>
    </row>
    <row r="5">
      <c r="A5" s="3" t="inlineStr">
        <is>
          <t>Parameter</t>
        </is>
      </c>
      <c r="B5" s="3" t="inlineStr">
        <is>
          <t>Value</t>
        </is>
      </c>
      <c r="C5" s="3" t="inlineStr"/>
    </row>
    <row r="6">
      <c r="A6" s="4" t="inlineStr">
        <is>
          <t>Risk-Free Rate (Rf)</t>
        </is>
      </c>
      <c r="B6" s="14" t="n">
        <v>0.07000000000000001</v>
      </c>
    </row>
    <row r="7">
      <c r="A7" s="4" t="inlineStr">
        <is>
          <t>Beta (β)</t>
        </is>
      </c>
      <c r="B7" s="15" t="n">
        <v>1.15</v>
      </c>
    </row>
    <row r="8">
      <c r="A8" s="4" t="inlineStr">
        <is>
          <t>Equity Risk Premium (ERP)</t>
        </is>
      </c>
      <c r="B8" s="14" t="n">
        <v>0.055</v>
      </c>
    </row>
    <row r="9">
      <c r="A9" s="4" t="inlineStr">
        <is>
          <t>Cost of Equity (Ke)</t>
        </is>
      </c>
      <c r="B9" s="14" t="n">
        <v>0.13325</v>
      </c>
    </row>
    <row r="10">
      <c r="A10" s="4" t="inlineStr">
        <is>
          <t>Pre-Tax Cost of Debt (Kd)</t>
        </is>
      </c>
      <c r="B10" s="14" t="n">
        <v>0.08500000000000001</v>
      </c>
    </row>
    <row r="11">
      <c r="A11" s="4" t="inlineStr">
        <is>
          <t>Tax Rate</t>
        </is>
      </c>
      <c r="B11" s="14" t="n">
        <v>0.25</v>
      </c>
    </row>
    <row r="12">
      <c r="A12" s="4" t="inlineStr">
        <is>
          <t>After-Tax Cost of Debt</t>
        </is>
      </c>
      <c r="B12" s="14" t="n">
        <v>0.06375</v>
      </c>
    </row>
    <row r="13">
      <c r="A13" s="4" t="inlineStr">
        <is>
          <t>Equity Weight (E/V)</t>
        </is>
      </c>
      <c r="B13" s="14" t="n">
        <v>0.92</v>
      </c>
    </row>
    <row r="14">
      <c r="A14" s="4" t="inlineStr">
        <is>
          <t>Debt Weight (D/V)</t>
        </is>
      </c>
      <c r="B14" s="14" t="n">
        <v>0.08</v>
      </c>
    </row>
    <row r="15">
      <c r="A15" s="9" t="inlineStr">
        <is>
          <t>WACC</t>
        </is>
      </c>
      <c r="B15" s="16" t="n">
        <v>0.128</v>
      </c>
    </row>
    <row r="17">
      <c r="A17" s="1" t="inlineStr">
        <is>
          <t>5-Year Revenue &amp; FCF Projections</t>
        </is>
      </c>
    </row>
    <row r="18">
      <c r="A18" s="3" t="inlineStr">
        <is>
          <t>Metric</t>
        </is>
      </c>
      <c r="B18" s="3" t="inlineStr">
        <is>
          <t>Base (FY2025E)</t>
        </is>
      </c>
      <c r="C18" s="3" t="inlineStr">
        <is>
          <t>FY2026E</t>
        </is>
      </c>
      <c r="D18" s="3" t="inlineStr">
        <is>
          <t>FY2027E</t>
        </is>
      </c>
      <c r="E18" s="3" t="inlineStr">
        <is>
          <t>FY2028E</t>
        </is>
      </c>
      <c r="F18" s="3" t="inlineStr">
        <is>
          <t>FY2029E</t>
        </is>
      </c>
      <c r="G18" s="3" t="inlineStr">
        <is>
          <t>FY2030E</t>
        </is>
      </c>
    </row>
    <row r="19">
      <c r="A19" s="4" t="inlineStr">
        <is>
          <t>Revenue Growth</t>
        </is>
      </c>
      <c r="B19" s="17" t="n"/>
      <c r="C19" s="17" t="n">
        <v>0.35</v>
      </c>
      <c r="D19" s="17" t="n">
        <v>0.28</v>
      </c>
      <c r="E19" s="17" t="n">
        <v>0.22</v>
      </c>
      <c r="F19" s="17" t="n">
        <v>0.18</v>
      </c>
      <c r="G19" s="17" t="n">
        <v>0.15</v>
      </c>
    </row>
    <row r="20">
      <c r="A20" s="4" t="inlineStr">
        <is>
          <t>Revenue</t>
        </is>
      </c>
      <c r="B20" s="5" t="n">
        <v>20500</v>
      </c>
      <c r="C20" s="5" t="n">
        <v>27675</v>
      </c>
      <c r="D20" s="5" t="n">
        <v>35424.00000000001</v>
      </c>
      <c r="E20" s="5" t="n">
        <v>43217.28000000001</v>
      </c>
      <c r="F20" s="5" t="n">
        <v>50996.3904</v>
      </c>
      <c r="G20" s="5" t="n">
        <v>58645.84896</v>
      </c>
    </row>
    <row r="21">
      <c r="A21" s="4" t="inlineStr">
        <is>
          <t>EBITDA Margin</t>
        </is>
      </c>
      <c r="B21" s="17" t="n"/>
      <c r="C21" s="17" t="n">
        <v>0.105</v>
      </c>
      <c r="D21" s="17" t="n">
        <v>0.125</v>
      </c>
      <c r="E21" s="17" t="n">
        <v>0.14</v>
      </c>
      <c r="F21" s="17" t="n">
        <v>0.155</v>
      </c>
      <c r="G21" s="17" t="n">
        <v>0.17</v>
      </c>
    </row>
    <row r="22">
      <c r="A22" s="4" t="inlineStr">
        <is>
          <t>EBITDA</t>
        </is>
      </c>
      <c r="B22" s="5" t="n"/>
      <c r="C22" s="5" t="n">
        <v>2905.875</v>
      </c>
      <c r="D22" s="5" t="n">
        <v>4428.000000000001</v>
      </c>
      <c r="E22" s="5" t="n">
        <v>6050.419200000001</v>
      </c>
      <c r="F22" s="5" t="n">
        <v>7904.440512</v>
      </c>
      <c r="G22" s="5" t="n">
        <v>9969.794323200002</v>
      </c>
    </row>
    <row r="23">
      <c r="A23" s="4" t="inlineStr">
        <is>
          <t>D&amp;A</t>
        </is>
      </c>
      <c r="B23" s="5" t="n"/>
      <c r="C23" s="5" t="n">
        <v>913.2750000000002</v>
      </c>
      <c r="D23" s="5" t="n">
        <v>1062.72</v>
      </c>
      <c r="E23" s="5" t="n">
        <v>1210.08384</v>
      </c>
      <c r="F23" s="5" t="n">
        <v>1325.9061504</v>
      </c>
      <c r="G23" s="5" t="n">
        <v>1466.146224</v>
      </c>
    </row>
    <row r="24">
      <c r="A24" s="4" t="inlineStr">
        <is>
          <t>EBIT</t>
        </is>
      </c>
      <c r="B24" s="5" t="n"/>
      <c r="C24" s="5" t="n">
        <v>1992.6</v>
      </c>
      <c r="D24" s="5" t="n">
        <v>3365.280000000001</v>
      </c>
      <c r="E24" s="5" t="n">
        <v>4840.335360000001</v>
      </c>
      <c r="F24" s="5" t="n">
        <v>6578.5343616</v>
      </c>
      <c r="G24" s="5" t="n">
        <v>8503.648099200002</v>
      </c>
    </row>
    <row r="25">
      <c r="A25" s="4" t="inlineStr">
        <is>
          <t>EBIT × (1 - t)</t>
        </is>
      </c>
      <c r="B25" s="5" t="n"/>
      <c r="C25" s="5" t="n">
        <v>1494.45</v>
      </c>
      <c r="D25" s="5" t="n">
        <v>2523.96</v>
      </c>
      <c r="E25" s="5" t="n">
        <v>3630.251520000001</v>
      </c>
      <c r="F25" s="5" t="n">
        <v>4933.9007712</v>
      </c>
      <c r="G25" s="5" t="n">
        <v>6377.736074400002</v>
      </c>
    </row>
    <row r="26">
      <c r="A26" s="4" t="inlineStr">
        <is>
          <t>+ D&amp;A</t>
        </is>
      </c>
      <c r="B26" s="5" t="n"/>
      <c r="C26" s="5" t="n">
        <v>913.2750000000002</v>
      </c>
      <c r="D26" s="5" t="n">
        <v>1062.72</v>
      </c>
      <c r="E26" s="5" t="n">
        <v>1210.08384</v>
      </c>
      <c r="F26" s="5" t="n">
        <v>1325.9061504</v>
      </c>
      <c r="G26" s="5" t="n">
        <v>1466.146224</v>
      </c>
    </row>
    <row r="27">
      <c r="A27" s="4" t="inlineStr">
        <is>
          <t>- CapEx</t>
        </is>
      </c>
      <c r="B27" s="5" t="n"/>
      <c r="C27" s="5" t="n">
        <v>-968.6250000000002</v>
      </c>
      <c r="D27" s="5" t="n">
        <v>-1133.568</v>
      </c>
      <c r="E27" s="5" t="n">
        <v>-1296.5184</v>
      </c>
      <c r="F27" s="5" t="n">
        <v>-1427.8989312</v>
      </c>
      <c r="G27" s="5" t="n">
        <v>-1466.146224</v>
      </c>
    </row>
    <row r="28">
      <c r="A28" s="4" t="inlineStr">
        <is>
          <t>- Δ NWC</t>
        </is>
      </c>
      <c r="B28" s="5" t="n"/>
      <c r="C28" s="5" t="n">
        <v>3700.25</v>
      </c>
      <c r="D28" s="5" t="n">
        <v>-387.4500000000003</v>
      </c>
      <c r="E28" s="5" t="n">
        <v>-389.664</v>
      </c>
      <c r="F28" s="5" t="n">
        <v>-388.95552</v>
      </c>
      <c r="G28" s="5" t="n">
        <v>-382.4729279999997</v>
      </c>
    </row>
    <row r="29">
      <c r="A29" s="9" t="inlineStr">
        <is>
          <t>Free Cash Flow (FCF)</t>
        </is>
      </c>
      <c r="B29" s="10" t="n"/>
      <c r="C29" s="10" t="n">
        <v>5139.35</v>
      </c>
      <c r="D29" s="10" t="n">
        <v>2065.662</v>
      </c>
      <c r="E29" s="10" t="n">
        <v>3154.152960000001</v>
      </c>
      <c r="F29" s="10" t="n">
        <v>4442.9524704</v>
      </c>
      <c r="G29" s="10" t="n">
        <v>5995.263146400002</v>
      </c>
    </row>
    <row r="31">
      <c r="A31" s="1" t="inlineStr">
        <is>
          <t>Present Value Calculation</t>
        </is>
      </c>
    </row>
    <row r="32">
      <c r="A32" s="3" t="inlineStr">
        <is>
          <t>Metric</t>
        </is>
      </c>
      <c r="B32" s="3" t="inlineStr"/>
      <c r="C32" s="3" t="inlineStr">
        <is>
          <t>FY2026E</t>
        </is>
      </c>
      <c r="D32" s="3" t="inlineStr">
        <is>
          <t>FY2027E</t>
        </is>
      </c>
      <c r="E32" s="3" t="inlineStr">
        <is>
          <t>FY2028E</t>
        </is>
      </c>
      <c r="F32" s="3" t="inlineStr">
        <is>
          <t>FY2029E</t>
        </is>
      </c>
      <c r="G32" s="3" t="inlineStr">
        <is>
          <t>FY2030E</t>
        </is>
      </c>
    </row>
    <row r="33">
      <c r="A33" s="4" t="inlineStr">
        <is>
          <t>Discount Factor</t>
        </is>
      </c>
      <c r="B33" s="18" t="n"/>
      <c r="C33" s="18" t="n">
        <v>0.8865248226950354</v>
      </c>
      <c r="D33" s="18" t="n">
        <v>0.7859262612544639</v>
      </c>
      <c r="E33" s="18" t="n">
        <v>0.6967431394099857</v>
      </c>
      <c r="F33" s="18" t="n">
        <v>0.6176800881294199</v>
      </c>
      <c r="G33" s="18" t="n">
        <v>0.5475887306111877</v>
      </c>
    </row>
    <row r="34">
      <c r="A34" s="6" t="inlineStr">
        <is>
          <t>PV of FCF</t>
        </is>
      </c>
      <c r="B34" s="7" t="n"/>
      <c r="C34" s="7" t="n">
        <v>4556.161347517731</v>
      </c>
      <c r="D34" s="7" t="n">
        <v>1623.458012675419</v>
      </c>
      <c r="E34" s="7" t="n">
        <v>2197.6344355297</v>
      </c>
      <c r="F34" s="7" t="n">
        <v>2744.323273471496</v>
      </c>
      <c r="G34" s="7" t="n">
        <v>3282.938536017213</v>
      </c>
    </row>
    <row r="36">
      <c r="A36" s="1" t="inlineStr">
        <is>
          <t>Terminal Value &amp; Enterprise Value Bridge</t>
        </is>
      </c>
    </row>
    <row r="37">
      <c r="A37" s="3" t="inlineStr">
        <is>
          <t>Component</t>
        </is>
      </c>
      <c r="B37" s="3" t="inlineStr">
        <is>
          <t>Value ($M)</t>
        </is>
      </c>
      <c r="C37" s="3" t="inlineStr"/>
      <c r="D37" s="3" t="inlineStr"/>
    </row>
    <row r="38">
      <c r="A38" s="8" t="inlineStr">
        <is>
          <t>Terminal Growth Rate (g)</t>
        </is>
      </c>
      <c r="B38" s="14" t="n">
        <v>0.055</v>
      </c>
    </row>
    <row r="39">
      <c r="A39" s="8" t="inlineStr">
        <is>
          <t>Terminal Year FCF × (1+g)</t>
        </is>
      </c>
      <c r="B39" s="5" t="n">
        <v>6325.002619452002</v>
      </c>
    </row>
    <row r="40">
      <c r="A40" s="8" t="inlineStr">
        <is>
          <t>Terminal Value</t>
        </is>
      </c>
      <c r="B40" s="5" t="n">
        <v>86643.87149934248</v>
      </c>
    </row>
    <row r="41">
      <c r="A41" s="6" t="inlineStr">
        <is>
          <t>PV of Terminal Value</t>
        </is>
      </c>
      <c r="B41" s="7" t="n">
        <v>47445.20760956382</v>
      </c>
    </row>
    <row r="43">
      <c r="A43" s="8" t="inlineStr">
        <is>
          <t>Sum of PV(FCFs)</t>
        </is>
      </c>
      <c r="B43" s="5" t="n">
        <v>14404.51560521156</v>
      </c>
    </row>
    <row r="44">
      <c r="A44" s="8" t="inlineStr">
        <is>
          <t>+ PV of Terminal Value</t>
        </is>
      </c>
      <c r="B44" s="5" t="n">
        <v>47445.20760956382</v>
      </c>
    </row>
    <row r="45">
      <c r="A45" s="6">
        <f> Enterprise Value</f>
        <v/>
      </c>
      <c r="B45" s="7" t="n">
        <v>61849.72321477537</v>
      </c>
    </row>
    <row r="46">
      <c r="A46" s="8" t="inlineStr">
        <is>
          <t>- Net Debt (+ = Cash)</t>
        </is>
      </c>
      <c r="B46" s="5" t="n">
        <v>13550</v>
      </c>
    </row>
    <row r="47">
      <c r="A47" s="9">
        <f> Equity Value</f>
        <v/>
      </c>
      <c r="B47" s="10" t="n">
        <v>75399.72321477538</v>
      </c>
    </row>
    <row r="48">
      <c r="A48" s="8" t="inlineStr">
        <is>
          <t>/ Shares Outstanding (M)</t>
        </is>
      </c>
      <c r="B48" s="5" t="n">
        <v>8830</v>
      </c>
    </row>
    <row r="49">
      <c r="A49" s="9" t="inlineStr">
        <is>
          <t>Implied Price per Share</t>
        </is>
      </c>
      <c r="B49" s="19" t="n">
        <v>8.539040001673316</v>
      </c>
    </row>
    <row r="51">
      <c r="A51" s="8" t="inlineStr">
        <is>
          <t>Current Market Price</t>
        </is>
      </c>
      <c r="B51" s="20" t="n">
        <v>270</v>
      </c>
    </row>
    <row r="52">
      <c r="A52" s="11" t="inlineStr">
        <is>
          <t>Upside / (Downside)</t>
        </is>
      </c>
      <c r="B52" s="12" t="n">
        <v>-0.9683739259197285</v>
      </c>
    </row>
  </sheetData>
  <mergeCells count="5">
    <mergeCell ref="A1:G1"/>
    <mergeCell ref="A17:G17"/>
    <mergeCell ref="A31:G31"/>
    <mergeCell ref="A4:C4"/>
    <mergeCell ref="A36:D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066CC"/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Comparable Company Analysis</t>
        </is>
      </c>
    </row>
    <row r="2">
      <c r="A2" s="2" t="inlineStr">
        <is>
          <t>Benchmarking Tesla against EV/Auto industry peers</t>
        </is>
      </c>
    </row>
    <row r="4">
      <c r="A4" s="3" t="inlineStr">
        <is>
          <t>Company</t>
        </is>
      </c>
      <c r="B4" s="3" t="inlineStr">
        <is>
          <t>Ticker</t>
        </is>
      </c>
      <c r="C4" s="3" t="inlineStr">
        <is>
          <t>Market Cap ($M)</t>
        </is>
      </c>
      <c r="D4" s="3" t="inlineStr">
        <is>
          <t>EV ($M)</t>
        </is>
      </c>
      <c r="E4" s="3" t="inlineStr">
        <is>
          <t>EV/Revenue</t>
        </is>
      </c>
      <c r="F4" s="3" t="inlineStr">
        <is>
          <t>EV/EBITDA</t>
        </is>
      </c>
      <c r="G4" s="3" t="inlineStr">
        <is>
          <t>P/E</t>
        </is>
      </c>
      <c r="H4" s="3" t="inlineStr">
        <is>
          <t>Rev Growth</t>
        </is>
      </c>
      <c r="I4" s="3" t="inlineStr">
        <is>
          <t>Gross Margin</t>
        </is>
      </c>
    </row>
    <row r="5">
      <c r="A5" s="21" t="inlineStr">
        <is>
          <t>Zomato</t>
        </is>
      </c>
      <c r="B5" s="22" t="inlineStr">
        <is>
          <t>ZOMATO</t>
        </is>
      </c>
      <c r="C5" s="22" t="inlineStr">
        <is>
          <t>N/M</t>
        </is>
      </c>
      <c r="D5" s="22" t="inlineStr">
        <is>
          <t>N/M</t>
        </is>
      </c>
      <c r="E5" s="23" t="n">
        <v>10.96</v>
      </c>
      <c r="F5" s="23" t="n">
        <v>107</v>
      </c>
      <c r="G5" s="23" t="n">
        <v>136</v>
      </c>
      <c r="H5" s="24" t="n">
        <v>0.6919999999999999</v>
      </c>
      <c r="I5" s="24" t="n">
        <v>0.44</v>
      </c>
    </row>
    <row r="6">
      <c r="A6" s="21" t="inlineStr">
        <is>
          <t>Swiggy</t>
        </is>
      </c>
      <c r="B6" s="22" t="inlineStr">
        <is>
          <t>SWIGGY</t>
        </is>
      </c>
      <c r="C6" s="22" t="inlineStr">
        <is>
          <t>N/M</t>
        </is>
      </c>
      <c r="D6" s="22" t="inlineStr">
        <is>
          <t>N/M</t>
        </is>
      </c>
      <c r="E6" s="23" t="n">
        <v>7.8</v>
      </c>
      <c r="F6" s="22" t="inlineStr">
        <is>
          <t>N/M</t>
        </is>
      </c>
      <c r="G6" s="22" t="inlineStr">
        <is>
          <t>N/M</t>
        </is>
      </c>
      <c r="H6" s="24" t="n">
        <v>0.38</v>
      </c>
      <c r="I6" s="24" t="n">
        <v>0.39</v>
      </c>
    </row>
    <row r="7">
      <c r="A7" s="21" t="inlineStr">
        <is>
          <t>DoorDash</t>
        </is>
      </c>
      <c r="B7" s="22" t="inlineStr">
        <is>
          <t>DASH</t>
        </is>
      </c>
      <c r="C7" s="22" t="inlineStr">
        <is>
          <t>N/M</t>
        </is>
      </c>
      <c r="D7" s="22" t="inlineStr">
        <is>
          <t>N/M</t>
        </is>
      </c>
      <c r="E7" s="23" t="n">
        <v>4.1</v>
      </c>
      <c r="F7" s="23" t="n">
        <v>28.5</v>
      </c>
      <c r="G7" s="23" t="n">
        <v>42</v>
      </c>
      <c r="H7" s="24" t="n">
        <v>0.24</v>
      </c>
      <c r="I7" s="24" t="n">
        <v>0.49</v>
      </c>
    </row>
    <row r="8">
      <c r="A8" s="21" t="inlineStr">
        <is>
          <t>Delivery Hero</t>
        </is>
      </c>
      <c r="B8" s="22" t="inlineStr">
        <is>
          <t>DHER</t>
        </is>
      </c>
      <c r="C8" s="22" t="inlineStr">
        <is>
          <t>N/M</t>
        </is>
      </c>
      <c r="D8" s="22" t="inlineStr">
        <is>
          <t>N/M</t>
        </is>
      </c>
      <c r="E8" s="23" t="n">
        <v>1.05</v>
      </c>
      <c r="F8" s="23" t="n">
        <v>14.2</v>
      </c>
      <c r="G8" s="22" t="inlineStr">
        <is>
          <t>N/M</t>
        </is>
      </c>
      <c r="H8" s="24" t="n">
        <v>0.16</v>
      </c>
      <c r="I8" s="24" t="n">
        <v>0.33</v>
      </c>
    </row>
    <row r="9">
      <c r="A9" s="21" t="inlineStr">
        <is>
          <t>Meituan</t>
        </is>
      </c>
      <c r="B9" s="22" t="inlineStr">
        <is>
          <t>3690.HK</t>
        </is>
      </c>
      <c r="C9" s="22" t="inlineStr">
        <is>
          <t>N/M</t>
        </is>
      </c>
      <c r="D9" s="22" t="inlineStr">
        <is>
          <t>N/M</t>
        </is>
      </c>
      <c r="E9" s="23" t="n">
        <v>2.4</v>
      </c>
      <c r="F9" s="23" t="n">
        <v>16.8</v>
      </c>
      <c r="G9" s="23" t="n">
        <v>21</v>
      </c>
      <c r="H9" s="24" t="n">
        <v>0.21</v>
      </c>
      <c r="I9" s="24" t="n">
        <v>0.36</v>
      </c>
    </row>
    <row r="12">
      <c r="A12" s="1" t="inlineStr">
        <is>
          <t>Implied Valuation from Peer Multiples</t>
        </is>
      </c>
    </row>
    <row r="13">
      <c r="A13" s="25" t="inlineStr">
        <is>
          <t>Method</t>
        </is>
      </c>
      <c r="B13" s="25" t="inlineStr">
        <is>
          <t>Peer Median</t>
        </is>
      </c>
      <c r="C13" s="25" t="inlineStr">
        <is>
          <t>Target Metric</t>
        </is>
      </c>
      <c r="D13" s="25" t="inlineStr">
        <is>
          <t>Implied EV ($M)</t>
        </is>
      </c>
      <c r="E13" s="25" t="inlineStr">
        <is>
          <t>Implied Price</t>
        </is>
      </c>
    </row>
    <row r="14">
      <c r="A14" s="26" t="inlineStr">
        <is>
          <t>EV/EBITDA</t>
        </is>
      </c>
      <c r="B14" s="27" t="n">
        <v>16.8</v>
      </c>
      <c r="C14" s="28" t="n">
        <v>2100</v>
      </c>
      <c r="D14" s="28" t="n">
        <v>35280</v>
      </c>
      <c r="E14" s="29" t="n">
        <v>5.530011325028313</v>
      </c>
    </row>
    <row r="15">
      <c r="A15" s="26" t="inlineStr">
        <is>
          <t>EV/Revenue</t>
        </is>
      </c>
      <c r="B15" s="27" t="n">
        <v>4.1</v>
      </c>
      <c r="C15" s="28" t="n">
        <v>20500</v>
      </c>
      <c r="D15" s="28" t="n">
        <v>84049.99999999999</v>
      </c>
      <c r="E15" s="29" t="n">
        <v>11.05322763306908</v>
      </c>
    </row>
    <row r="16">
      <c r="A16" s="26" t="inlineStr">
        <is>
          <t>P/E Ratio</t>
        </is>
      </c>
      <c r="B16" s="27" t="n">
        <v>42</v>
      </c>
      <c r="C16" s="28" t="n">
        <v>1750</v>
      </c>
      <c r="D16" s="28" t="n">
        <v>73500</v>
      </c>
      <c r="E16" s="29" t="n">
        <v>8.323895809739524</v>
      </c>
    </row>
  </sheetData>
  <mergeCells count="2">
    <mergeCell ref="A12:E1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7D32"/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Sensitivity Analysis — Implied Share Price ($)</t>
        </is>
      </c>
    </row>
    <row r="2">
      <c r="A2" s="2" t="inlineStr">
        <is>
          <t>Revenue Growth Δ (rows) × WACC (columns)</t>
        </is>
      </c>
    </row>
    <row r="4">
      <c r="A4" s="3" t="inlineStr">
        <is>
          <t>Rev Growth Δ \ WACC</t>
        </is>
      </c>
      <c r="B4" s="3" t="inlineStr">
        <is>
          <t>11.3%</t>
        </is>
      </c>
      <c r="C4" s="3" t="inlineStr">
        <is>
          <t>11.8%</t>
        </is>
      </c>
      <c r="D4" s="3" t="inlineStr">
        <is>
          <t>12.3%</t>
        </is>
      </c>
      <c r="E4" s="3" t="inlineStr">
        <is>
          <t>12.8%</t>
        </is>
      </c>
      <c r="F4" s="3" t="inlineStr">
        <is>
          <t>13.3%</t>
        </is>
      </c>
      <c r="G4" s="3" t="inlineStr">
        <is>
          <t>13.8%</t>
        </is>
      </c>
      <c r="H4" s="3" t="inlineStr">
        <is>
          <t>14.3%</t>
        </is>
      </c>
    </row>
    <row r="5">
      <c r="A5" s="30" t="inlineStr">
        <is>
          <t>-2%</t>
        </is>
      </c>
      <c r="B5" s="31" t="n">
        <v>9.883927586645127</v>
      </c>
      <c r="C5" s="31" t="n">
        <v>9.193182706147347</v>
      </c>
      <c r="D5" s="31" t="n">
        <v>8.604728283306562</v>
      </c>
      <c r="E5" s="32" t="n">
        <v>8.097528104564297</v>
      </c>
      <c r="F5" s="31" t="n">
        <v>7.655940351084895</v>
      </c>
      <c r="G5" s="31" t="n">
        <v>7.268092765340061</v>
      </c>
      <c r="H5" s="31" t="n">
        <v>6.924811738740026</v>
      </c>
    </row>
    <row r="6">
      <c r="A6" s="30" t="inlineStr">
        <is>
          <t>-1%</t>
        </is>
      </c>
      <c r="B6" s="31" t="n">
        <v>10.16870388101569</v>
      </c>
      <c r="C6" s="31" t="n">
        <v>9.451948092033142</v>
      </c>
      <c r="D6" s="31" t="n">
        <v>8.841367999424044</v>
      </c>
      <c r="E6" s="32" t="n">
        <v>8.315127703462625</v>
      </c>
      <c r="F6" s="31" t="n">
        <v>7.856990783288915</v>
      </c>
      <c r="G6" s="31" t="n">
        <v>7.454633690019511</v>
      </c>
      <c r="H6" s="31" t="n">
        <v>7.098534120084425</v>
      </c>
    </row>
    <row r="7">
      <c r="A7" s="33" t="inlineStr">
        <is>
          <t>+0%</t>
        </is>
      </c>
      <c r="B7" s="32" t="n">
        <v>10.46179680917859</v>
      </c>
      <c r="C7" s="32" t="n">
        <v>9.718253765200235</v>
      </c>
      <c r="D7" s="32" t="n">
        <v>9.084888011139789</v>
      </c>
      <c r="E7" s="34" t="n">
        <v>8.539040001673316</v>
      </c>
      <c r="F7" s="32" t="n">
        <v>8.063860899335769</v>
      </c>
      <c r="G7" s="32" t="n">
        <v>7.646562343254677</v>
      </c>
      <c r="H7" s="32" t="n">
        <v>7.277262888280774</v>
      </c>
    </row>
    <row r="8">
      <c r="A8" s="30" t="inlineStr">
        <is>
          <t>+1%</t>
        </is>
      </c>
      <c r="B8" s="31" t="n">
        <v>10.76338760752939</v>
      </c>
      <c r="C8" s="31" t="n">
        <v>9.992263833987298</v>
      </c>
      <c r="D8" s="31" t="n">
        <v>9.335437871283087</v>
      </c>
      <c r="E8" s="32" t="n">
        <v>8.76940203917564</v>
      </c>
      <c r="F8" s="31" t="n">
        <v>8.276676875030729</v>
      </c>
      <c r="G8" s="31" t="n">
        <v>7.843995386337972</v>
      </c>
      <c r="H8" s="31" t="n">
        <v>7.46110630874258</v>
      </c>
    </row>
    <row r="9">
      <c r="A9" s="30" t="inlineStr">
        <is>
          <t>+2%</t>
        </is>
      </c>
      <c r="B9" s="31" t="n">
        <v>11.07366011468931</v>
      </c>
      <c r="C9" s="31" t="n">
        <v>10.27414476112924</v>
      </c>
      <c r="D9" s="31" t="n">
        <v>9.593169276526185</v>
      </c>
      <c r="E9" s="32" t="n">
        <v>9.006352818835012</v>
      </c>
      <c r="F9" s="31" t="n">
        <v>8.495566691994915</v>
      </c>
      <c r="G9" s="31" t="n">
        <v>8.047051148860342</v>
      </c>
      <c r="H9" s="31" t="n">
        <v>7.650174193869425</v>
      </c>
    </row>
    <row r="12">
      <c r="A12" s="35" t="inlineStr">
        <is>
          <t>Current Market Price: $270.00</t>
        </is>
      </c>
    </row>
    <row r="13">
      <c r="A13" s="2" t="inlineStr">
        <is>
          <t>Green = &gt;10% upside  |  Red = &gt;10% downside</t>
        </is>
      </c>
    </row>
    <row r="14">
      <c r="A14" s="2" t="inlineStr">
        <is>
          <t>Highlighted cells = base case assumptions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2026-09-11T14:34:40Z</dcterms:created>
  <dcterms:modified xmlns:dcterms="http://purl.org/dc/terms/" xmlns:xsi="http://www.w3.org/2001/XMLSchema-instance" xsi:type="dcterms:W3CDTF">2026-09-11T14:34:40Z</dcterms:modified>
</cp:coreProperties>
</file>