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 Analysis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000"/>
    <numFmt numFmtId="167" formatCode="$#,##0.00"/>
    <numFmt numFmtId="168" formatCode="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3366"/>
      <sz val="11"/>
    </font>
    <font>
      <name val="Calibri"/>
      <b val="1"/>
      <color rgb="002E7D32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9C4"/>
        <bgColor rgb="00FFF9C4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8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7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7" fontId="6" fillId="4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BYD Company Limited (1211.HK) — Historical Financial Summary</t>
        </is>
      </c>
    </row>
    <row r="2">
      <c r="A2" s="2" t="inlineStr">
        <is>
          <t>CNY Millions (¥M)</t>
        </is>
      </c>
    </row>
    <row r="4">
      <c r="A4" s="1" t="inlineStr">
        <is>
          <t>Income Statement</t>
        </is>
      </c>
    </row>
    <row r="5">
      <c r="A5" s="3" t="inlineStr">
        <is>
          <t>Metric</t>
        </is>
      </c>
      <c r="B5" s="3" t="inlineStr">
        <is>
          <t>FY2021</t>
        </is>
      </c>
      <c r="C5" s="3" t="inlineStr">
        <is>
          <t>FY2022</t>
        </is>
      </c>
      <c r="D5" s="3" t="inlineStr">
        <is>
          <t>FY2023</t>
        </is>
      </c>
      <c r="E5" s="3" t="inlineStr">
        <is>
          <t>FY2024</t>
        </is>
      </c>
      <c r="F5" s="3" t="inlineStr">
        <is>
          <t>FY2025E</t>
        </is>
      </c>
    </row>
    <row r="6">
      <c r="A6" s="4" t="inlineStr">
        <is>
          <t>Revenue</t>
        </is>
      </c>
      <c r="B6" s="5" t="n">
        <v>216142</v>
      </c>
      <c r="C6" s="5" t="n">
        <v>424061</v>
      </c>
      <c r="D6" s="5" t="n">
        <v>602315</v>
      </c>
      <c r="E6" s="5" t="n">
        <v>720000</v>
      </c>
      <c r="F6" s="5" t="n">
        <v>850000</v>
      </c>
    </row>
    <row r="7">
      <c r="A7" s="4" t="inlineStr">
        <is>
          <t xml:space="preserve">  Cost of Revenue</t>
        </is>
      </c>
      <c r="B7" s="5" t="n">
        <v>188056</v>
      </c>
      <c r="C7" s="5" t="n">
        <v>351980</v>
      </c>
      <c r="D7" s="5" t="n">
        <v>480660</v>
      </c>
      <c r="E7" s="5" t="n">
        <v>568800</v>
      </c>
      <c r="F7" s="5" t="n">
        <v>663000</v>
      </c>
    </row>
    <row r="8">
      <c r="A8" s="6" t="inlineStr">
        <is>
          <t>Gross Profit</t>
        </is>
      </c>
      <c r="B8" s="7" t="n">
        <v>28086</v>
      </c>
      <c r="C8" s="7" t="n">
        <v>72081</v>
      </c>
      <c r="D8" s="7" t="n">
        <v>121655</v>
      </c>
      <c r="E8" s="7" t="n">
        <v>151200</v>
      </c>
      <c r="F8" s="7" t="n">
        <v>187000</v>
      </c>
    </row>
    <row r="9">
      <c r="A9" s="4" t="inlineStr">
        <is>
          <t xml:space="preserve">  R&amp;D Expense</t>
        </is>
      </c>
      <c r="B9" s="5" t="n">
        <v>10627</v>
      </c>
      <c r="C9" s="5" t="n">
        <v>20223</v>
      </c>
      <c r="D9" s="5" t="n">
        <v>39918</v>
      </c>
      <c r="E9" s="5" t="n">
        <v>48000</v>
      </c>
      <c r="F9" s="5" t="n">
        <v>58000</v>
      </c>
    </row>
    <row r="10">
      <c r="A10" s="4" t="inlineStr">
        <is>
          <t xml:space="preserve">  SG&amp;A Expense</t>
        </is>
      </c>
      <c r="B10" s="5" t="n">
        <v>11603</v>
      </c>
      <c r="C10" s="5" t="n">
        <v>20120</v>
      </c>
      <c r="D10" s="5" t="n">
        <v>35300</v>
      </c>
      <c r="E10" s="5" t="n">
        <v>43200</v>
      </c>
      <c r="F10" s="5" t="n">
        <v>51000</v>
      </c>
    </row>
    <row r="11">
      <c r="A11" s="8" t="inlineStr">
        <is>
          <t>Operating Income (EBIT)</t>
        </is>
      </c>
      <c r="B11" s="5" t="n">
        <v>5856</v>
      </c>
      <c r="C11" s="5" t="n">
        <v>31738</v>
      </c>
      <c r="D11" s="5" t="n">
        <v>46437</v>
      </c>
      <c r="E11" s="5" t="n">
        <v>60000</v>
      </c>
      <c r="F11" s="5" t="n">
        <v>78000</v>
      </c>
    </row>
    <row r="12">
      <c r="A12" s="4" t="inlineStr">
        <is>
          <t xml:space="preserve">  Depreciation &amp; Amort.</t>
        </is>
      </c>
      <c r="B12" s="5" t="n">
        <v>13200</v>
      </c>
      <c r="C12" s="5" t="n">
        <v>21500</v>
      </c>
      <c r="D12" s="5" t="n">
        <v>31200</v>
      </c>
      <c r="E12" s="5" t="n">
        <v>38000</v>
      </c>
      <c r="F12" s="5" t="n">
        <v>44000</v>
      </c>
    </row>
    <row r="13">
      <c r="A13" s="6" t="inlineStr">
        <is>
          <t>EBITDA</t>
        </is>
      </c>
      <c r="B13" s="7" t="n">
        <v>19056</v>
      </c>
      <c r="C13" s="7" t="n">
        <v>53238</v>
      </c>
      <c r="D13" s="7" t="n">
        <v>77637</v>
      </c>
      <c r="E13" s="7" t="n">
        <v>98000</v>
      </c>
      <c r="F13" s="7" t="n">
        <v>122000</v>
      </c>
    </row>
    <row r="14">
      <c r="A14" s="4" t="inlineStr">
        <is>
          <t xml:space="preserve">  Interest Expense</t>
        </is>
      </c>
      <c r="B14" s="5" t="n">
        <v>1796</v>
      </c>
      <c r="C14" s="5" t="n">
        <v>1612</v>
      </c>
      <c r="D14" s="5" t="n">
        <v>1890</v>
      </c>
      <c r="E14" s="5" t="n">
        <v>1950</v>
      </c>
      <c r="F14" s="5" t="n">
        <v>2100</v>
      </c>
    </row>
    <row r="15">
      <c r="A15" s="4" t="inlineStr">
        <is>
          <t xml:space="preserve">  Tax Expense</t>
        </is>
      </c>
      <c r="B15" s="5" t="n">
        <v>1020</v>
      </c>
      <c r="C15" s="5" t="n">
        <v>4120</v>
      </c>
      <c r="D15" s="5" t="n">
        <v>6800</v>
      </c>
      <c r="E15" s="5" t="n">
        <v>8900</v>
      </c>
      <c r="F15" s="5" t="n">
        <v>11500</v>
      </c>
    </row>
    <row r="16">
      <c r="A16" s="9" t="inlineStr">
        <is>
          <t>Net Income</t>
        </is>
      </c>
      <c r="B16" s="10" t="n">
        <v>3045</v>
      </c>
      <c r="C16" s="10" t="n">
        <v>16626</v>
      </c>
      <c r="D16" s="10" t="n">
        <v>30041</v>
      </c>
      <c r="E16" s="10" t="n">
        <v>38500</v>
      </c>
      <c r="F16" s="10" t="n">
        <v>49500</v>
      </c>
    </row>
    <row r="18">
      <c r="A18" s="1" t="inlineStr">
        <is>
          <t>Key Margins</t>
        </is>
      </c>
    </row>
    <row r="19">
      <c r="A19" s="3" t="inlineStr">
        <is>
          <t>Metric</t>
        </is>
      </c>
      <c r="B19" s="3" t="inlineStr">
        <is>
          <t>FY2021</t>
        </is>
      </c>
      <c r="C19" s="3" t="inlineStr">
        <is>
          <t>FY2022</t>
        </is>
      </c>
      <c r="D19" s="3" t="inlineStr">
        <is>
          <t>FY2023</t>
        </is>
      </c>
      <c r="E19" s="3" t="inlineStr">
        <is>
          <t>FY2024</t>
        </is>
      </c>
      <c r="F19" s="3" t="inlineStr">
        <is>
          <t>FY2025E</t>
        </is>
      </c>
    </row>
    <row r="20">
      <c r="A20" s="11" t="inlineStr">
        <is>
          <t>Gross Margin</t>
        </is>
      </c>
      <c r="B20" s="12" t="n">
        <v>0.1299423527125686</v>
      </c>
      <c r="C20" s="12" t="n">
        <v>0.1699779041222843</v>
      </c>
      <c r="D20" s="12" t="n">
        <v>0.2019790309057553</v>
      </c>
      <c r="E20" s="12" t="n">
        <v>0.21</v>
      </c>
      <c r="F20" s="12" t="n">
        <v>0.22</v>
      </c>
    </row>
    <row r="21">
      <c r="A21" s="11" t="inlineStr">
        <is>
          <t>EBITDA Margin</t>
        </is>
      </c>
      <c r="B21" s="12" t="n">
        <v>0.08816426238306299</v>
      </c>
      <c r="C21" s="12" t="n">
        <v>0.1255432591065908</v>
      </c>
      <c r="D21" s="12" t="n">
        <v>0.1288976698239293</v>
      </c>
      <c r="E21" s="12" t="n">
        <v>0.1361111111111111</v>
      </c>
      <c r="F21" s="12" t="n">
        <v>0.1435294117647059</v>
      </c>
    </row>
    <row r="22">
      <c r="A22" s="11" t="inlineStr">
        <is>
          <t>Operating Margin</t>
        </is>
      </c>
      <c r="B22" s="12" t="n">
        <v>0.02709329977514782</v>
      </c>
      <c r="C22" s="12" t="n">
        <v>0.0748430060769559</v>
      </c>
      <c r="D22" s="12" t="n">
        <v>0.0770975320222807</v>
      </c>
      <c r="E22" s="12" t="n">
        <v>0.08333333333333333</v>
      </c>
      <c r="F22" s="12" t="n">
        <v>0.09176470588235294</v>
      </c>
    </row>
    <row r="23">
      <c r="A23" s="11" t="inlineStr">
        <is>
          <t>Net Margin</t>
        </is>
      </c>
      <c r="B23" s="12" t="n">
        <v>0.0140879606925077</v>
      </c>
      <c r="C23" s="12" t="n">
        <v>0.03920662357538184</v>
      </c>
      <c r="D23" s="12" t="n">
        <v>0.04987589550318355</v>
      </c>
      <c r="E23" s="12" t="n">
        <v>0.05347222222222222</v>
      </c>
      <c r="F23" s="12" t="n">
        <v>0.05823529411764706</v>
      </c>
    </row>
    <row r="24">
      <c r="A24" s="11" t="inlineStr">
        <is>
          <t>Revenue Growth YoY</t>
        </is>
      </c>
      <c r="B24" s="12" t="n"/>
      <c r="C24" s="12" t="n">
        <v>0.9619555662481146</v>
      </c>
      <c r="D24" s="12" t="n">
        <v>0.4203499024904436</v>
      </c>
      <c r="E24" s="12" t="n">
        <v>0.1953877954226609</v>
      </c>
      <c r="F24" s="12" t="n">
        <v>0.1805555555555556</v>
      </c>
    </row>
    <row r="26">
      <c r="A26" s="1" t="inlineStr">
        <is>
          <t>Balance Sheet</t>
        </is>
      </c>
    </row>
    <row r="27">
      <c r="A27" s="3" t="inlineStr">
        <is>
          <t>Metric</t>
        </is>
      </c>
      <c r="B27" s="3" t="inlineStr">
        <is>
          <t>FY2021</t>
        </is>
      </c>
      <c r="C27" s="3" t="inlineStr">
        <is>
          <t>FY2022</t>
        </is>
      </c>
      <c r="D27" s="3" t="inlineStr">
        <is>
          <t>FY2023</t>
        </is>
      </c>
      <c r="E27" s="3" t="inlineStr">
        <is>
          <t>FY2024</t>
        </is>
      </c>
      <c r="F27" s="3" t="inlineStr">
        <is>
          <t>FY2025E</t>
        </is>
      </c>
    </row>
    <row r="28">
      <c r="A28" s="4" t="inlineStr">
        <is>
          <t>Cash &amp; Equivalents</t>
        </is>
      </c>
      <c r="B28" s="5" t="n">
        <v>50460</v>
      </c>
      <c r="C28" s="5" t="n">
        <v>51470</v>
      </c>
      <c r="D28" s="5" t="n">
        <v>109090</v>
      </c>
      <c r="E28" s="5" t="n">
        <v>128000</v>
      </c>
      <c r="F28" s="5" t="n">
        <v>145000</v>
      </c>
    </row>
    <row r="29">
      <c r="A29" s="4" t="inlineStr">
        <is>
          <t>Current Assets</t>
        </is>
      </c>
      <c r="B29" s="5" t="n">
        <v>140200</v>
      </c>
      <c r="C29" s="5" t="n">
        <v>240800</v>
      </c>
      <c r="D29" s="5" t="n">
        <v>355000</v>
      </c>
      <c r="E29" s="5" t="n">
        <v>410000</v>
      </c>
      <c r="F29" s="5" t="n">
        <v>485000</v>
      </c>
    </row>
    <row r="30">
      <c r="A30" s="6" t="inlineStr">
        <is>
          <t>Total Assets</t>
        </is>
      </c>
      <c r="B30" s="7" t="n">
        <v>295700</v>
      </c>
      <c r="C30" s="7" t="n">
        <v>493800</v>
      </c>
      <c r="D30" s="7" t="n">
        <v>679500</v>
      </c>
      <c r="E30" s="7" t="n">
        <v>785000</v>
      </c>
      <c r="F30" s="7" t="n">
        <v>910000</v>
      </c>
    </row>
    <row r="31">
      <c r="A31" s="4" t="inlineStr">
        <is>
          <t>Current Liabilities</t>
        </is>
      </c>
      <c r="B31" s="5" t="n">
        <v>162400</v>
      </c>
      <c r="C31" s="5" t="n">
        <v>281600</v>
      </c>
      <c r="D31" s="5" t="n">
        <v>398000</v>
      </c>
      <c r="E31" s="5" t="n">
        <v>455000</v>
      </c>
      <c r="F31" s="5" t="n">
        <v>520000</v>
      </c>
    </row>
    <row r="32">
      <c r="A32" s="4" t="inlineStr">
        <is>
          <t>Total Debt</t>
        </is>
      </c>
      <c r="B32" s="5" t="n">
        <v>38500</v>
      </c>
      <c r="C32" s="5" t="n">
        <v>42100</v>
      </c>
      <c r="D32" s="5" t="n">
        <v>40500</v>
      </c>
      <c r="E32" s="5" t="n">
        <v>38000</v>
      </c>
      <c r="F32" s="5" t="n">
        <v>35000</v>
      </c>
    </row>
    <row r="33">
      <c r="A33" s="9" t="inlineStr">
        <is>
          <t>Total Equity</t>
        </is>
      </c>
      <c r="B33" s="10" t="n">
        <v>95000</v>
      </c>
      <c r="C33" s="10" t="n">
        <v>119500</v>
      </c>
      <c r="D33" s="10" t="n">
        <v>139000</v>
      </c>
      <c r="E33" s="10" t="n">
        <v>172000</v>
      </c>
      <c r="F33" s="10" t="n">
        <v>218000</v>
      </c>
    </row>
    <row r="34">
      <c r="A34" s="11" t="inlineStr">
        <is>
          <t>Net Working Capital</t>
        </is>
      </c>
      <c r="B34" s="13" t="n">
        <v>-22200</v>
      </c>
      <c r="C34" s="13" t="n">
        <v>-40800</v>
      </c>
      <c r="D34" s="13" t="n">
        <v>-43000</v>
      </c>
      <c r="E34" s="13" t="n">
        <v>-45000</v>
      </c>
      <c r="F34" s="13" t="n">
        <v>-35000</v>
      </c>
    </row>
    <row r="35">
      <c r="A35" s="11" t="inlineStr">
        <is>
          <t>Return on Equity (ROE)</t>
        </is>
      </c>
      <c r="B35" s="12" t="n">
        <v>0.03205263157894737</v>
      </c>
      <c r="C35" s="12" t="n">
        <v>0.1391297071129707</v>
      </c>
      <c r="D35" s="12" t="n">
        <v>0.2161223021582734</v>
      </c>
      <c r="E35" s="12" t="n">
        <v>0.2238372093023256</v>
      </c>
      <c r="F35" s="12" t="n">
        <v>0.2270642201834862</v>
      </c>
    </row>
    <row r="37">
      <c r="A37" s="1" t="inlineStr">
        <is>
          <t>Cash Flow Statement</t>
        </is>
      </c>
    </row>
    <row r="38">
      <c r="A38" s="3" t="inlineStr">
        <is>
          <t>Metric</t>
        </is>
      </c>
      <c r="B38" s="3" t="inlineStr">
        <is>
          <t>FY2021</t>
        </is>
      </c>
      <c r="C38" s="3" t="inlineStr">
        <is>
          <t>FY2022</t>
        </is>
      </c>
      <c r="D38" s="3" t="inlineStr">
        <is>
          <t>FY2023</t>
        </is>
      </c>
      <c r="E38" s="3" t="inlineStr">
        <is>
          <t>FY2024</t>
        </is>
      </c>
      <c r="F38" s="3" t="inlineStr">
        <is>
          <t>FY2025E</t>
        </is>
      </c>
    </row>
    <row r="39">
      <c r="A39" s="4" t="inlineStr">
        <is>
          <t>Operating Cash Flow</t>
        </is>
      </c>
      <c r="B39" s="5" t="n">
        <v>65466</v>
      </c>
      <c r="C39" s="5" t="n">
        <v>140920</v>
      </c>
      <c r="D39" s="5" t="n">
        <v>169725</v>
      </c>
      <c r="E39" s="5" t="n">
        <v>195000</v>
      </c>
      <c r="F39" s="5" t="n">
        <v>225000</v>
      </c>
    </row>
    <row r="40">
      <c r="A40" s="4" t="inlineStr">
        <is>
          <t>Capital Expenditures</t>
        </is>
      </c>
      <c r="B40" s="5" t="n">
        <v>-37340</v>
      </c>
      <c r="C40" s="5" t="n">
        <v>-98900</v>
      </c>
      <c r="D40" s="5" t="n">
        <v>-124000</v>
      </c>
      <c r="E40" s="5" t="n">
        <v>-135000</v>
      </c>
      <c r="F40" s="5" t="n">
        <v>-145000</v>
      </c>
    </row>
    <row r="41">
      <c r="A41" s="9" t="inlineStr">
        <is>
          <t>Free Cash Flow</t>
        </is>
      </c>
      <c r="B41" s="10" t="n">
        <v>28126</v>
      </c>
      <c r="C41" s="10" t="n">
        <v>42020</v>
      </c>
      <c r="D41" s="10" t="n">
        <v>45725</v>
      </c>
      <c r="E41" s="10" t="n">
        <v>60000</v>
      </c>
      <c r="F41" s="10" t="n">
        <v>80000</v>
      </c>
    </row>
    <row r="42">
      <c r="A42" s="11" t="inlineStr">
        <is>
          <t>Shares Outstanding (M)</t>
        </is>
      </c>
      <c r="B42" s="13" t="n">
        <v>2911</v>
      </c>
      <c r="C42" s="13" t="n">
        <v>2911</v>
      </c>
      <c r="D42" s="13" t="n">
        <v>2911</v>
      </c>
      <c r="E42" s="13" t="n">
        <v>2911</v>
      </c>
      <c r="F42" s="13" t="n">
        <v>2911</v>
      </c>
    </row>
  </sheetData>
  <mergeCells count="5">
    <mergeCell ref="A1:F1"/>
    <mergeCell ref="A37:F37"/>
    <mergeCell ref="A18:F18"/>
    <mergeCell ref="A4:F4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Discounted Cash Flow (DCF) Valuation Model</t>
        </is>
      </c>
    </row>
    <row r="2">
      <c r="A2" s="2" t="inlineStr">
        <is>
          <t>5-Year projection with Gordon Growth Terminal Value</t>
        </is>
      </c>
    </row>
    <row r="4">
      <c r="A4" s="1" t="inlineStr">
        <is>
          <t>WACC Calculation</t>
        </is>
      </c>
    </row>
    <row r="5">
      <c r="A5" s="3" t="inlineStr">
        <is>
          <t>Parameter</t>
        </is>
      </c>
      <c r="B5" s="3" t="inlineStr">
        <is>
          <t>Value</t>
        </is>
      </c>
      <c r="C5" s="3" t="inlineStr"/>
    </row>
    <row r="6">
      <c r="A6" s="4" t="inlineStr">
        <is>
          <t>Risk-Free Rate (Rf)</t>
        </is>
      </c>
      <c r="B6" s="14" t="n">
        <v>0.024</v>
      </c>
    </row>
    <row r="7">
      <c r="A7" s="4" t="inlineStr">
        <is>
          <t>Beta (β)</t>
        </is>
      </c>
      <c r="B7" s="15" t="n">
        <v>1.1</v>
      </c>
    </row>
    <row r="8">
      <c r="A8" s="4" t="inlineStr">
        <is>
          <t>Equity Risk Premium (ERP)</t>
        </is>
      </c>
      <c r="B8" s="14" t="n">
        <v>0.06</v>
      </c>
    </row>
    <row r="9">
      <c r="A9" s="4" t="inlineStr">
        <is>
          <t>Cost of Equity (Ke)</t>
        </is>
      </c>
      <c r="B9" s="14" t="n">
        <v>0.09</v>
      </c>
    </row>
    <row r="10">
      <c r="A10" s="4" t="inlineStr">
        <is>
          <t>Pre-Tax Cost of Debt (Kd)</t>
        </is>
      </c>
      <c r="B10" s="14" t="n">
        <v>0.038</v>
      </c>
    </row>
    <row r="11">
      <c r="A11" s="4" t="inlineStr">
        <is>
          <t>Tax Rate</t>
        </is>
      </c>
      <c r="B11" s="14" t="n">
        <v>0.15</v>
      </c>
    </row>
    <row r="12">
      <c r="A12" s="4" t="inlineStr">
        <is>
          <t>After-Tax Cost of Debt</t>
        </is>
      </c>
      <c r="B12" s="14" t="n">
        <v>0.0323</v>
      </c>
    </row>
    <row r="13">
      <c r="A13" s="4" t="inlineStr">
        <is>
          <t>Equity Weight (E/V)</t>
        </is>
      </c>
      <c r="B13" s="14" t="n">
        <v>0.92</v>
      </c>
    </row>
    <row r="14">
      <c r="A14" s="4" t="inlineStr">
        <is>
          <t>Debt Weight (D/V)</t>
        </is>
      </c>
      <c r="B14" s="14" t="n">
        <v>0.08</v>
      </c>
    </row>
    <row r="15">
      <c r="A15" s="9" t="inlineStr">
        <is>
          <t>WACC</t>
        </is>
      </c>
      <c r="B15" s="16" t="n">
        <v>0.08599999999999999</v>
      </c>
    </row>
    <row r="17">
      <c r="A17" s="1" t="inlineStr">
        <is>
          <t>5-Year Revenue &amp; FCF Projections</t>
        </is>
      </c>
    </row>
    <row r="18">
      <c r="A18" s="3" t="inlineStr">
        <is>
          <t>Metric</t>
        </is>
      </c>
      <c r="B18" s="3" t="inlineStr">
        <is>
          <t>Base (FY2025E)</t>
        </is>
      </c>
      <c r="C18" s="3" t="inlineStr">
        <is>
          <t>FY2026E</t>
        </is>
      </c>
      <c r="D18" s="3" t="inlineStr">
        <is>
          <t>FY2027E</t>
        </is>
      </c>
      <c r="E18" s="3" t="inlineStr">
        <is>
          <t>FY2028E</t>
        </is>
      </c>
      <c r="F18" s="3" t="inlineStr">
        <is>
          <t>FY2029E</t>
        </is>
      </c>
      <c r="G18" s="3" t="inlineStr">
        <is>
          <t>FY2030E</t>
        </is>
      </c>
    </row>
    <row r="19">
      <c r="A19" s="4" t="inlineStr">
        <is>
          <t>Revenue Growth</t>
        </is>
      </c>
      <c r="B19" s="17" t="n"/>
      <c r="C19" s="17" t="n">
        <v>0.18</v>
      </c>
      <c r="D19" s="17" t="n">
        <v>0.15</v>
      </c>
      <c r="E19" s="17" t="n">
        <v>0.12</v>
      </c>
      <c r="F19" s="17" t="n">
        <v>0.1</v>
      </c>
      <c r="G19" s="17" t="n">
        <v>0.08</v>
      </c>
    </row>
    <row r="20">
      <c r="A20" s="4" t="inlineStr">
        <is>
          <t>Revenue</t>
        </is>
      </c>
      <c r="B20" s="5" t="n">
        <v>850000</v>
      </c>
      <c r="C20" s="5" t="n">
        <v>1003000</v>
      </c>
      <c r="D20" s="5" t="n">
        <v>1153450</v>
      </c>
      <c r="E20" s="5" t="n">
        <v>1291864</v>
      </c>
      <c r="F20" s="5" t="n">
        <v>1421050.4</v>
      </c>
      <c r="G20" s="5" t="n">
        <v>1534734.432</v>
      </c>
    </row>
    <row r="21">
      <c r="A21" s="4" t="inlineStr">
        <is>
          <t>EBITDA Margin</t>
        </is>
      </c>
      <c r="B21" s="17" t="n"/>
      <c r="C21" s="17" t="n">
        <v>0.145</v>
      </c>
      <c r="D21" s="17" t="n">
        <v>0.148</v>
      </c>
      <c r="E21" s="17" t="n">
        <v>0.15</v>
      </c>
      <c r="F21" s="17" t="n">
        <v>0.152</v>
      </c>
      <c r="G21" s="17" t="n">
        <v>0.155</v>
      </c>
    </row>
    <row r="22">
      <c r="A22" s="4" t="inlineStr">
        <is>
          <t>EBITDA</t>
        </is>
      </c>
      <c r="B22" s="5" t="n"/>
      <c r="C22" s="5" t="n">
        <v>145435</v>
      </c>
      <c r="D22" s="5" t="n">
        <v>170710.6</v>
      </c>
      <c r="E22" s="5" t="n">
        <v>193779.6</v>
      </c>
      <c r="F22" s="5" t="n">
        <v>215999.6608</v>
      </c>
      <c r="G22" s="5" t="n">
        <v>237883.8369600001</v>
      </c>
    </row>
    <row r="23">
      <c r="A23" s="4" t="inlineStr">
        <is>
          <t>D&amp;A</t>
        </is>
      </c>
      <c r="B23" s="5" t="n"/>
      <c r="C23" s="5" t="n">
        <v>52156</v>
      </c>
      <c r="D23" s="5" t="n">
        <v>57672.5</v>
      </c>
      <c r="E23" s="5" t="n">
        <v>62009.47200000001</v>
      </c>
      <c r="F23" s="5" t="n">
        <v>65368.31840000002</v>
      </c>
      <c r="G23" s="5" t="n">
        <v>69063.04944000002</v>
      </c>
    </row>
    <row r="24">
      <c r="A24" s="4" t="inlineStr">
        <is>
          <t>EBIT</t>
        </is>
      </c>
      <c r="B24" s="5" t="n"/>
      <c r="C24" s="5" t="n">
        <v>93279</v>
      </c>
      <c r="D24" s="5" t="n">
        <v>113038.1</v>
      </c>
      <c r="E24" s="5" t="n">
        <v>131770.128</v>
      </c>
      <c r="F24" s="5" t="n">
        <v>150631.3424</v>
      </c>
      <c r="G24" s="5" t="n">
        <v>168820.7875200001</v>
      </c>
    </row>
    <row r="25">
      <c r="A25" s="4" t="inlineStr">
        <is>
          <t>EBIT × (1 - t)</t>
        </is>
      </c>
      <c r="B25" s="5" t="n"/>
      <c r="C25" s="5" t="n">
        <v>79287.14999999999</v>
      </c>
      <c r="D25" s="5" t="n">
        <v>96082.38500000001</v>
      </c>
      <c r="E25" s="5" t="n">
        <v>112004.6088</v>
      </c>
      <c r="F25" s="5" t="n">
        <v>128036.64104</v>
      </c>
      <c r="G25" s="5" t="n">
        <v>143497.6693920001</v>
      </c>
    </row>
    <row r="26">
      <c r="A26" s="4" t="inlineStr">
        <is>
          <t>+ D&amp;A</t>
        </is>
      </c>
      <c r="B26" s="5" t="n"/>
      <c r="C26" s="5" t="n">
        <v>52156</v>
      </c>
      <c r="D26" s="5" t="n">
        <v>57672.5</v>
      </c>
      <c r="E26" s="5" t="n">
        <v>62009.47200000001</v>
      </c>
      <c r="F26" s="5" t="n">
        <v>65368.31840000002</v>
      </c>
      <c r="G26" s="5" t="n">
        <v>69063.04944000002</v>
      </c>
    </row>
    <row r="27">
      <c r="A27" s="4" t="inlineStr">
        <is>
          <t>- CapEx</t>
        </is>
      </c>
      <c r="B27" s="5" t="n"/>
      <c r="C27" s="5" t="n">
        <v>-150450</v>
      </c>
      <c r="D27" s="5" t="n">
        <v>-149948.5</v>
      </c>
      <c r="E27" s="5" t="n">
        <v>-142105.04</v>
      </c>
      <c r="F27" s="5" t="n">
        <v>-134999.788</v>
      </c>
      <c r="G27" s="5" t="n">
        <v>-130452.42672</v>
      </c>
    </row>
    <row r="28">
      <c r="A28" s="4" t="inlineStr">
        <is>
          <t>- Δ NWC</t>
        </is>
      </c>
      <c r="B28" s="5" t="n"/>
      <c r="C28" s="5" t="n">
        <v>270980</v>
      </c>
      <c r="D28" s="5" t="n">
        <v>9027</v>
      </c>
      <c r="E28" s="5" t="n">
        <v>8304.840000000011</v>
      </c>
      <c r="F28" s="5" t="n">
        <v>7751.184000000008</v>
      </c>
      <c r="G28" s="5" t="n">
        <v>6821.041920000003</v>
      </c>
    </row>
    <row r="29">
      <c r="A29" s="9" t="inlineStr">
        <is>
          <t>Free Cash Flow (FCF)</t>
        </is>
      </c>
      <c r="B29" s="10" t="n"/>
      <c r="C29" s="10" t="n">
        <v>251973.15</v>
      </c>
      <c r="D29" s="10" t="n">
        <v>12833.38500000001</v>
      </c>
      <c r="E29" s="10" t="n">
        <v>40213.8808</v>
      </c>
      <c r="F29" s="10" t="n">
        <v>66156.35544000001</v>
      </c>
      <c r="G29" s="10" t="n">
        <v>88929.33403200006</v>
      </c>
    </row>
    <row r="31">
      <c r="A31" s="1" t="inlineStr">
        <is>
          <t>Present Value Calculation</t>
        </is>
      </c>
    </row>
    <row r="32">
      <c r="A32" s="3" t="inlineStr">
        <is>
          <t>Metric</t>
        </is>
      </c>
      <c r="B32" s="3" t="inlineStr"/>
      <c r="C32" s="3" t="inlineStr">
        <is>
          <t>FY2026E</t>
        </is>
      </c>
      <c r="D32" s="3" t="inlineStr">
        <is>
          <t>FY2027E</t>
        </is>
      </c>
      <c r="E32" s="3" t="inlineStr">
        <is>
          <t>FY2028E</t>
        </is>
      </c>
      <c r="F32" s="3" t="inlineStr">
        <is>
          <t>FY2029E</t>
        </is>
      </c>
      <c r="G32" s="3" t="inlineStr">
        <is>
          <t>FY2030E</t>
        </is>
      </c>
    </row>
    <row r="33">
      <c r="A33" s="4" t="inlineStr">
        <is>
          <t>Discount Factor</t>
        </is>
      </c>
      <c r="B33" s="18" t="n"/>
      <c r="C33" s="18" t="n">
        <v>0.9208103130755064</v>
      </c>
      <c r="D33" s="18" t="n">
        <v>0.847891632666212</v>
      </c>
      <c r="E33" s="18" t="n">
        <v>0.780747359729477</v>
      </c>
      <c r="F33" s="18" t="n">
        <v>0.7189202207453748</v>
      </c>
      <c r="G33" s="18" t="n">
        <v>0.6619891535408606</v>
      </c>
    </row>
    <row r="34">
      <c r="A34" s="6" t="inlineStr">
        <is>
          <t>PV of FCF</t>
        </is>
      </c>
      <c r="B34" s="7" t="n"/>
      <c r="C34" s="7" t="n">
        <v>232019.4751381215</v>
      </c>
      <c r="D34" s="7" t="n">
        <v>10881.31976028408</v>
      </c>
      <c r="E34" s="7" t="n">
        <v>31396.8812590759</v>
      </c>
      <c r="F34" s="7" t="n">
        <v>47561.14165663428</v>
      </c>
      <c r="G34" s="7" t="n">
        <v>58870.25456079617</v>
      </c>
    </row>
    <row r="36">
      <c r="A36" s="1" t="inlineStr">
        <is>
          <t>Terminal Value &amp; Enterprise Value Bridge</t>
        </is>
      </c>
    </row>
    <row r="37">
      <c r="A37" s="3" t="inlineStr">
        <is>
          <t>Component</t>
        </is>
      </c>
      <c r="B37" s="3" t="inlineStr">
        <is>
          <t>Value ($M)</t>
        </is>
      </c>
      <c r="C37" s="3" t="inlineStr"/>
      <c r="D37" s="3" t="inlineStr"/>
    </row>
    <row r="38">
      <c r="A38" s="8" t="inlineStr">
        <is>
          <t>Terminal Growth Rate (g)</t>
        </is>
      </c>
      <c r="B38" s="14" t="n">
        <v>0.025</v>
      </c>
    </row>
    <row r="39">
      <c r="A39" s="8" t="inlineStr">
        <is>
          <t>Terminal Year FCF × (1+g)</t>
        </is>
      </c>
      <c r="B39" s="5" t="n">
        <v>91152.56738280004</v>
      </c>
    </row>
    <row r="40">
      <c r="A40" s="8" t="inlineStr">
        <is>
          <t>Terminal Value</t>
        </is>
      </c>
      <c r="B40" s="5" t="n">
        <v>1494304.383324591</v>
      </c>
    </row>
    <row r="41">
      <c r="A41" s="6" t="inlineStr">
        <is>
          <t>PV of Terminal Value</t>
        </is>
      </c>
      <c r="B41" s="7" t="n">
        <v>989213.2938494437</v>
      </c>
    </row>
    <row r="43">
      <c r="A43" s="8" t="inlineStr">
        <is>
          <t>Sum of PV(FCFs)</t>
        </is>
      </c>
      <c r="B43" s="5" t="n">
        <v>380729.072374912</v>
      </c>
    </row>
    <row r="44">
      <c r="A44" s="8" t="inlineStr">
        <is>
          <t>+ PV of Terminal Value</t>
        </is>
      </c>
      <c r="B44" s="5" t="n">
        <v>989213.2938494437</v>
      </c>
    </row>
    <row r="45">
      <c r="A45" s="6">
        <f> Enterprise Value</f>
        <v/>
      </c>
      <c r="B45" s="7" t="n">
        <v>1369942.366224356</v>
      </c>
    </row>
    <row r="46">
      <c r="A46" s="8" t="inlineStr">
        <is>
          <t>- Net Debt (+ = Cash)</t>
        </is>
      </c>
      <c r="B46" s="5" t="n">
        <v>110000</v>
      </c>
    </row>
    <row r="47">
      <c r="A47" s="9">
        <f> Equity Value</f>
        <v/>
      </c>
      <c r="B47" s="10" t="n">
        <v>1479942.366224356</v>
      </c>
    </row>
    <row r="48">
      <c r="A48" s="8" t="inlineStr">
        <is>
          <t>/ Shares Outstanding (M)</t>
        </is>
      </c>
      <c r="B48" s="5" t="n">
        <v>2911</v>
      </c>
    </row>
    <row r="49">
      <c r="A49" s="9" t="inlineStr">
        <is>
          <t>Implied Price per Share</t>
        </is>
      </c>
      <c r="B49" s="19" t="n">
        <v>508.3965531516164</v>
      </c>
    </row>
    <row r="51">
      <c r="A51" s="8" t="inlineStr">
        <is>
          <t>Current Market Price</t>
        </is>
      </c>
      <c r="B51" s="20" t="n">
        <v>282</v>
      </c>
    </row>
    <row r="52">
      <c r="A52" s="11" t="inlineStr">
        <is>
          <t>Upside / (Downside)</t>
        </is>
      </c>
      <c r="B52" s="12" t="n">
        <v>0.8028246565660158</v>
      </c>
    </row>
  </sheetData>
  <mergeCells count="5">
    <mergeCell ref="A1:G1"/>
    <mergeCell ref="A17:G17"/>
    <mergeCell ref="A31:G31"/>
    <mergeCell ref="A4:C4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CC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Comparable Company Analysis</t>
        </is>
      </c>
    </row>
    <row r="2">
      <c r="A2" s="2" t="inlineStr">
        <is>
          <t>Benchmarking Tesla against EV/Auto industry peers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Market Cap ($M)</t>
        </is>
      </c>
      <c r="D4" s="3" t="inlineStr">
        <is>
          <t>EV ($M)</t>
        </is>
      </c>
      <c r="E4" s="3" t="inlineStr">
        <is>
          <t>EV/Revenue</t>
        </is>
      </c>
      <c r="F4" s="3" t="inlineStr">
        <is>
          <t>EV/EBITDA</t>
        </is>
      </c>
      <c r="G4" s="3" t="inlineStr">
        <is>
          <t>P/E</t>
        </is>
      </c>
      <c r="H4" s="3" t="inlineStr">
        <is>
          <t>Rev Growth</t>
        </is>
      </c>
      <c r="I4" s="3" t="inlineStr">
        <is>
          <t>Gross Margin</t>
        </is>
      </c>
    </row>
    <row r="5">
      <c r="A5" s="21" t="inlineStr">
        <is>
          <t>BYD</t>
        </is>
      </c>
      <c r="B5" s="22" t="inlineStr">
        <is>
          <t>1211.HK</t>
        </is>
      </c>
      <c r="C5" s="22" t="inlineStr">
        <is>
          <t>N/M</t>
        </is>
      </c>
      <c r="D5" s="22" t="inlineStr">
        <is>
          <t>N/M</t>
        </is>
      </c>
      <c r="E5" s="23" t="n">
        <v>0.84</v>
      </c>
      <c r="F5" s="23" t="n">
        <v>5.8</v>
      </c>
      <c r="G5" s="23" t="n">
        <v>16.5</v>
      </c>
      <c r="H5" s="24" t="n">
        <v>0.18</v>
      </c>
      <c r="I5" s="24" t="n">
        <v>0.22</v>
      </c>
    </row>
    <row r="6">
      <c r="A6" s="25" t="inlineStr">
        <is>
          <t>Tesla</t>
        </is>
      </c>
      <c r="B6" s="26" t="inlineStr">
        <is>
          <t>TSLA</t>
        </is>
      </c>
      <c r="C6" s="26" t="inlineStr">
        <is>
          <t>N/M</t>
        </is>
      </c>
      <c r="D6" s="26" t="inlineStr">
        <is>
          <t>N/M</t>
        </is>
      </c>
      <c r="E6" s="27" t="n">
        <v>8.140000000000001</v>
      </c>
      <c r="F6" s="27" t="n">
        <v>42.3</v>
      </c>
      <c r="G6" s="27" t="n">
        <v>93.09999999999999</v>
      </c>
      <c r="H6" s="28" t="n">
        <v>0.155</v>
      </c>
      <c r="I6" s="28" t="n">
        <v>0.225</v>
      </c>
    </row>
    <row r="7">
      <c r="A7" s="21" t="inlineStr">
        <is>
          <t>Geely Auto</t>
        </is>
      </c>
      <c r="B7" s="22" t="inlineStr">
        <is>
          <t>0175.HK</t>
        </is>
      </c>
      <c r="C7" s="22" t="inlineStr">
        <is>
          <t>N/M</t>
        </is>
      </c>
      <c r="D7" s="22" t="inlineStr">
        <is>
          <t>N/M</t>
        </is>
      </c>
      <c r="E7" s="23" t="n">
        <v>0.35</v>
      </c>
      <c r="F7" s="23" t="n">
        <v>4.2</v>
      </c>
      <c r="G7" s="23" t="n">
        <v>9.800000000000001</v>
      </c>
      <c r="H7" s="24" t="n">
        <v>0.26</v>
      </c>
      <c r="I7" s="24" t="n">
        <v>0.152</v>
      </c>
    </row>
    <row r="8">
      <c r="A8" s="21" t="inlineStr">
        <is>
          <t>Li Auto</t>
        </is>
      </c>
      <c r="B8" s="22" t="inlineStr">
        <is>
          <t>LI</t>
        </is>
      </c>
      <c r="C8" s="22" t="inlineStr">
        <is>
          <t>N/M</t>
        </is>
      </c>
      <c r="D8" s="22" t="inlineStr">
        <is>
          <t>N/M</t>
        </is>
      </c>
      <c r="E8" s="23" t="n">
        <v>1.15</v>
      </c>
      <c r="F8" s="23" t="n">
        <v>8.5</v>
      </c>
      <c r="G8" s="23" t="n">
        <v>17.2</v>
      </c>
      <c r="H8" s="24" t="n">
        <v>0.32</v>
      </c>
      <c r="I8" s="24" t="n">
        <v>0.215</v>
      </c>
    </row>
    <row r="9">
      <c r="A9" s="21" t="inlineStr">
        <is>
          <t>SAIC Motor</t>
        </is>
      </c>
      <c r="B9" s="22" t="inlineStr">
        <is>
          <t>600104.SS</t>
        </is>
      </c>
      <c r="C9" s="22" t="inlineStr">
        <is>
          <t>N/M</t>
        </is>
      </c>
      <c r="D9" s="22" t="inlineStr">
        <is>
          <t>N/M</t>
        </is>
      </c>
      <c r="E9" s="23" t="n">
        <v>0.22</v>
      </c>
      <c r="F9" s="23" t="n">
        <v>3.8</v>
      </c>
      <c r="G9" s="23" t="n">
        <v>8.1</v>
      </c>
      <c r="H9" s="24" t="n">
        <v>0.03</v>
      </c>
      <c r="I9" s="24" t="n">
        <v>0.105</v>
      </c>
    </row>
    <row r="12">
      <c r="A12" s="1" t="inlineStr">
        <is>
          <t>Implied Valuation from Peer Multiples</t>
        </is>
      </c>
    </row>
    <row r="13">
      <c r="A13" s="29" t="inlineStr">
        <is>
          <t>Method</t>
        </is>
      </c>
      <c r="B13" s="29" t="inlineStr">
        <is>
          <t>Peer Median</t>
        </is>
      </c>
      <c r="C13" s="29" t="inlineStr">
        <is>
          <t>Target Metric</t>
        </is>
      </c>
      <c r="D13" s="29" t="inlineStr">
        <is>
          <t>Implied EV ($M)</t>
        </is>
      </c>
      <c r="E13" s="29" t="inlineStr">
        <is>
          <t>Implied Price</t>
        </is>
      </c>
    </row>
    <row r="14">
      <c r="A14" s="30" t="inlineStr">
        <is>
          <t>EV/EBITDA</t>
        </is>
      </c>
      <c r="B14" s="31" t="n">
        <v>8.5</v>
      </c>
      <c r="C14" s="32" t="n">
        <v>122000</v>
      </c>
      <c r="D14" s="32" t="n">
        <v>1037000</v>
      </c>
      <c r="E14" s="33" t="n">
        <v>394.0226726210924</v>
      </c>
    </row>
    <row r="15">
      <c r="A15" s="30" t="inlineStr">
        <is>
          <t>EV/Revenue</t>
        </is>
      </c>
      <c r="B15" s="31" t="n">
        <v>1.15</v>
      </c>
      <c r="C15" s="32" t="n">
        <v>850000</v>
      </c>
      <c r="D15" s="32" t="n">
        <v>977499.9999999999</v>
      </c>
      <c r="E15" s="33" t="n">
        <v>373.5829611817245</v>
      </c>
    </row>
    <row r="16">
      <c r="A16" s="30" t="inlineStr">
        <is>
          <t>P/E Ratio</t>
        </is>
      </c>
      <c r="B16" s="31" t="n">
        <v>17.2</v>
      </c>
      <c r="C16" s="32" t="n">
        <v>49500</v>
      </c>
      <c r="D16" s="32" t="n">
        <v>851400</v>
      </c>
      <c r="E16" s="33" t="n">
        <v>292.4768120920646</v>
      </c>
    </row>
  </sheetData>
  <mergeCells count="2">
    <mergeCell ref="A12:E1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Sensitivity Analysis — Implied Share Price ($)</t>
        </is>
      </c>
    </row>
    <row r="2">
      <c r="A2" s="2" t="inlineStr">
        <is>
          <t>Revenue Growth Δ (rows) × WACC (columns)</t>
        </is>
      </c>
    </row>
    <row r="4">
      <c r="A4" s="3" t="inlineStr">
        <is>
          <t>Rev Growth Δ \ WACC</t>
        </is>
      </c>
      <c r="B4" s="3" t="inlineStr">
        <is>
          <t>7.1%</t>
        </is>
      </c>
      <c r="C4" s="3" t="inlineStr">
        <is>
          <t>7.6%</t>
        </is>
      </c>
      <c r="D4" s="3" t="inlineStr">
        <is>
          <t>8.1%</t>
        </is>
      </c>
      <c r="E4" s="3" t="inlineStr">
        <is>
          <t>8.6%</t>
        </is>
      </c>
      <c r="F4" s="3" t="inlineStr">
        <is>
          <t>9.1%</t>
        </is>
      </c>
      <c r="G4" s="3" t="inlineStr">
        <is>
          <t>9.6%</t>
        </is>
      </c>
      <c r="H4" s="3" t="inlineStr">
        <is>
          <t>10.1%</t>
        </is>
      </c>
    </row>
    <row r="5">
      <c r="A5" s="34" t="inlineStr">
        <is>
          <t>-2%</t>
        </is>
      </c>
      <c r="B5" s="35" t="n">
        <v>600.9731609474155</v>
      </c>
      <c r="C5" s="35" t="n">
        <v>548.1670077837884</v>
      </c>
      <c r="D5" s="35" t="n">
        <v>504.8115190490362</v>
      </c>
      <c r="E5" s="36" t="n">
        <v>468.5817372209295</v>
      </c>
      <c r="F5" s="35" t="n">
        <v>437.8572721812371</v>
      </c>
      <c r="G5" s="35" t="n">
        <v>411.474212880195</v>
      </c>
      <c r="H5" s="35" t="n">
        <v>388.5749686537094</v>
      </c>
    </row>
    <row r="6">
      <c r="A6" s="34" t="inlineStr">
        <is>
          <t>-1%</t>
        </is>
      </c>
      <c r="B6" s="35" t="n">
        <v>627.7934772372562</v>
      </c>
      <c r="C6" s="35" t="n">
        <v>572.0645507368217</v>
      </c>
      <c r="D6" s="35" t="n">
        <v>526.3134317545395</v>
      </c>
      <c r="E6" s="36" t="n">
        <v>488.0854185949628</v>
      </c>
      <c r="F6" s="35" t="n">
        <v>455.6696966462234</v>
      </c>
      <c r="G6" s="35" t="n">
        <v>427.8374049824256</v>
      </c>
      <c r="H6" s="35" t="n">
        <v>403.6830977786697</v>
      </c>
    </row>
    <row r="7">
      <c r="A7" s="37" t="inlineStr">
        <is>
          <t>+0%</t>
        </is>
      </c>
      <c r="B7" s="36" t="n">
        <v>655.7326815267073</v>
      </c>
      <c r="C7" s="36" t="n">
        <v>596.956515863645</v>
      </c>
      <c r="D7" s="36" t="n">
        <v>548.7078014883767</v>
      </c>
      <c r="E7" s="38" t="n">
        <v>508.3965531516164</v>
      </c>
      <c r="F7" s="36" t="n">
        <v>474.2176711472879</v>
      </c>
      <c r="G7" s="36" t="n">
        <v>444.8745717272734</v>
      </c>
      <c r="H7" s="36" t="n">
        <v>419.4119108279368</v>
      </c>
    </row>
    <row r="8">
      <c r="A8" s="34" t="inlineStr">
        <is>
          <t>+1%</t>
        </is>
      </c>
      <c r="B8" s="35" t="n">
        <v>684.8248346175257</v>
      </c>
      <c r="C8" s="35" t="n">
        <v>622.8731207821592</v>
      </c>
      <c r="D8" s="35" t="n">
        <v>572.0216988110099</v>
      </c>
      <c r="E8" s="36" t="n">
        <v>529.5395891046569</v>
      </c>
      <c r="F8" s="35" t="n">
        <v>493.5234267974809</v>
      </c>
      <c r="G8" s="35" t="n">
        <v>462.6060465663945</v>
      </c>
      <c r="H8" s="35" t="n">
        <v>435.7800998106025</v>
      </c>
    </row>
    <row r="9">
      <c r="A9" s="34" t="inlineStr">
        <is>
          <t>+2%</t>
        </is>
      </c>
      <c r="B9" s="35" t="n">
        <v>715.1046731281459</v>
      </c>
      <c r="C9" s="35" t="n">
        <v>649.8451819372123</v>
      </c>
      <c r="D9" s="35" t="n">
        <v>596.2827300862751</v>
      </c>
      <c r="E9" s="36" t="n">
        <v>551.5394579741306</v>
      </c>
      <c r="F9" s="35" t="n">
        <v>513.6096336483162</v>
      </c>
      <c r="G9" s="35" t="n">
        <v>481.0525639295794</v>
      </c>
      <c r="H9" s="35" t="n">
        <v>452.8067248924891</v>
      </c>
    </row>
    <row r="12">
      <c r="A12" s="39" t="inlineStr">
        <is>
          <t>Current Market Price: $282.00</t>
        </is>
      </c>
    </row>
    <row r="13">
      <c r="A13" s="2" t="inlineStr">
        <is>
          <t>Green = &gt;10% upside  |  Red = &gt;10% downside</t>
        </is>
      </c>
    </row>
    <row r="14">
      <c r="A14" s="2" t="inlineStr">
        <is>
          <t>Highlighted cells = base case assumptions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2026-09-11T14:34:40Z</dcterms:created>
  <dcterms:modified xmlns:dcterms="http://purl.org/dc/terms/" xmlns:xsi="http://www.w3.org/2001/XMLSchema-instance" xsi:type="dcterms:W3CDTF">2026-09-11T14:34:40Z</dcterms:modified>
</cp:coreProperties>
</file>