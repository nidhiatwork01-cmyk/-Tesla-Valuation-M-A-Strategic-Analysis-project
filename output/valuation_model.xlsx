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 Analysis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000"/>
    <numFmt numFmtId="167" formatCode="$#,##0.00"/>
    <numFmt numFmtId="168" formatCode="0.0&quot;x&quot;"/>
  </numFmts>
  <fonts count="7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3366"/>
      <sz val="11"/>
    </font>
    <font>
      <name val="Calibri"/>
      <b val="1"/>
      <color rgb="00CC000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F9C4"/>
        <bgColor rgb="00FFF9C4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8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7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7" fontId="6" fillId="4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Tesla, Inc. (TSLA) — Historical Financial Summary</t>
        </is>
      </c>
    </row>
    <row r="2">
      <c r="A2" s="2" t="inlineStr">
        <is>
          <t>All figures in USD millions unless otherwise noted  |  Tesla 10-K Annual Reports (FY2021–FY2024), Analyst Consensus Estimates (FY2025E)</t>
        </is>
      </c>
    </row>
    <row r="4">
      <c r="A4" s="1" t="inlineStr">
        <is>
          <t>Income Statement</t>
        </is>
      </c>
    </row>
    <row r="5">
      <c r="A5" s="3" t="inlineStr">
        <is>
          <t>Metric</t>
        </is>
      </c>
      <c r="B5" s="3" t="inlineStr">
        <is>
          <t>FY2021</t>
        </is>
      </c>
      <c r="C5" s="3" t="inlineStr">
        <is>
          <t>FY2022</t>
        </is>
      </c>
      <c r="D5" s="3" t="inlineStr">
        <is>
          <t>FY2023</t>
        </is>
      </c>
      <c r="E5" s="3" t="inlineStr">
        <is>
          <t>FY2024</t>
        </is>
      </c>
      <c r="F5" s="3" t="inlineStr">
        <is>
          <t>FY2025E</t>
        </is>
      </c>
    </row>
    <row r="6">
      <c r="A6" s="4" t="inlineStr">
        <is>
          <t>Revenue</t>
        </is>
      </c>
      <c r="B6" s="5" t="n">
        <v>53823</v>
      </c>
      <c r="C6" s="5" t="n">
        <v>81462</v>
      </c>
      <c r="D6" s="5" t="n">
        <v>96773</v>
      </c>
      <c r="E6" s="5" t="n">
        <v>97690</v>
      </c>
      <c r="F6" s="5" t="n">
        <v>112800</v>
      </c>
    </row>
    <row r="7">
      <c r="A7" s="4" t="inlineStr">
        <is>
          <t xml:space="preserve">  Cost of Revenue</t>
        </is>
      </c>
      <c r="B7" s="5" t="n">
        <v>40217</v>
      </c>
      <c r="C7" s="5" t="n">
        <v>60609</v>
      </c>
      <c r="D7" s="5" t="n">
        <v>79113</v>
      </c>
      <c r="E7" s="5" t="n">
        <v>76642</v>
      </c>
      <c r="F7" s="5" t="n">
        <v>87384</v>
      </c>
    </row>
    <row r="8">
      <c r="A8" s="6" t="inlineStr">
        <is>
          <t>Gross Profit</t>
        </is>
      </c>
      <c r="B8" s="7" t="n">
        <v>13606</v>
      </c>
      <c r="C8" s="7" t="n">
        <v>20853</v>
      </c>
      <c r="D8" s="7" t="n">
        <v>17660</v>
      </c>
      <c r="E8" s="7" t="n">
        <v>21048</v>
      </c>
      <c r="F8" s="7" t="n">
        <v>25416</v>
      </c>
    </row>
    <row r="9">
      <c r="A9" s="4" t="inlineStr">
        <is>
          <t xml:space="preserve">  R&amp;D Expense</t>
        </is>
      </c>
      <c r="B9" s="5" t="n">
        <v>2593</v>
      </c>
      <c r="C9" s="5" t="n">
        <v>3075</v>
      </c>
      <c r="D9" s="5" t="n">
        <v>3969</v>
      </c>
      <c r="E9" s="5" t="n">
        <v>4610</v>
      </c>
      <c r="F9" s="5" t="n">
        <v>5200</v>
      </c>
    </row>
    <row r="10">
      <c r="A10" s="4" t="inlineStr">
        <is>
          <t xml:space="preserve">  SG&amp;A Expense</t>
        </is>
      </c>
      <c r="B10" s="5" t="n">
        <v>4517</v>
      </c>
      <c r="C10" s="5" t="n">
        <v>3946</v>
      </c>
      <c r="D10" s="5" t="n">
        <v>4800</v>
      </c>
      <c r="E10" s="5" t="n">
        <v>4443</v>
      </c>
      <c r="F10" s="5" t="n">
        <v>4900</v>
      </c>
    </row>
    <row r="11">
      <c r="A11" s="8" t="inlineStr">
        <is>
          <t>Operating Income (EBIT)</t>
        </is>
      </c>
      <c r="B11" s="5" t="n">
        <v>6496</v>
      </c>
      <c r="C11" s="5" t="n">
        <v>13832</v>
      </c>
      <c r="D11" s="5" t="n">
        <v>8891</v>
      </c>
      <c r="E11" s="5" t="n">
        <v>11995</v>
      </c>
      <c r="F11" s="5" t="n">
        <v>15316</v>
      </c>
    </row>
    <row r="12">
      <c r="A12" s="4" t="inlineStr">
        <is>
          <t xml:space="preserve">  Depreciation &amp; Amort.</t>
        </is>
      </c>
      <c r="B12" s="5" t="n">
        <v>2911</v>
      </c>
      <c r="C12" s="5" t="n">
        <v>3747</v>
      </c>
      <c r="D12" s="5" t="n">
        <v>4667</v>
      </c>
      <c r="E12" s="5" t="n">
        <v>5770</v>
      </c>
      <c r="F12" s="5" t="n">
        <v>6400</v>
      </c>
    </row>
    <row r="13">
      <c r="A13" s="6" t="inlineStr">
        <is>
          <t>EBITDA</t>
        </is>
      </c>
      <c r="B13" s="7" t="n">
        <v>9407</v>
      </c>
      <c r="C13" s="7" t="n">
        <v>17579</v>
      </c>
      <c r="D13" s="7" t="n">
        <v>13558</v>
      </c>
      <c r="E13" s="7" t="n">
        <v>17765</v>
      </c>
      <c r="F13" s="7" t="n">
        <v>21716</v>
      </c>
    </row>
    <row r="14">
      <c r="A14" s="4" t="inlineStr">
        <is>
          <t xml:space="preserve">  Interest Expense</t>
        </is>
      </c>
      <c r="B14" s="5" t="n">
        <v>371</v>
      </c>
      <c r="C14" s="5" t="n">
        <v>191</v>
      </c>
      <c r="D14" s="5" t="n">
        <v>156</v>
      </c>
      <c r="E14" s="5" t="n">
        <v>83</v>
      </c>
      <c r="F14" s="5" t="n">
        <v>65</v>
      </c>
    </row>
    <row r="15">
      <c r="A15" s="4" t="inlineStr">
        <is>
          <t xml:space="preserve">  Tax Expense</t>
        </is>
      </c>
      <c r="B15" s="5" t="n">
        <v>699</v>
      </c>
      <c r="C15" s="5" t="n">
        <v>1132</v>
      </c>
      <c r="D15" s="5" t="n">
        <v>1368</v>
      </c>
      <c r="E15" s="5" t="n">
        <v>3670</v>
      </c>
      <c r="F15" s="5" t="n">
        <v>3800</v>
      </c>
    </row>
    <row r="16">
      <c r="A16" s="9" t="inlineStr">
        <is>
          <t>Net Income</t>
        </is>
      </c>
      <c r="B16" s="10" t="n">
        <v>5519</v>
      </c>
      <c r="C16" s="10" t="n">
        <v>12556</v>
      </c>
      <c r="D16" s="10" t="n">
        <v>7928</v>
      </c>
      <c r="E16" s="10" t="n">
        <v>7091</v>
      </c>
      <c r="F16" s="10" t="n">
        <v>10200</v>
      </c>
    </row>
    <row r="18">
      <c r="A18" s="1" t="inlineStr">
        <is>
          <t>Key Margins</t>
        </is>
      </c>
    </row>
    <row r="19">
      <c r="A19" s="3" t="inlineStr">
        <is>
          <t>Metric</t>
        </is>
      </c>
      <c r="B19" s="3" t="inlineStr">
        <is>
          <t>FY2021</t>
        </is>
      </c>
      <c r="C19" s="3" t="inlineStr">
        <is>
          <t>FY2022</t>
        </is>
      </c>
      <c r="D19" s="3" t="inlineStr">
        <is>
          <t>FY2023</t>
        </is>
      </c>
      <c r="E19" s="3" t="inlineStr">
        <is>
          <t>FY2024</t>
        </is>
      </c>
      <c r="F19" s="3" t="inlineStr">
        <is>
          <t>FY2025E</t>
        </is>
      </c>
    </row>
    <row r="20">
      <c r="A20" s="11" t="inlineStr">
        <is>
          <t>Gross Margin</t>
        </is>
      </c>
      <c r="B20" s="12" t="n">
        <v>0.2527915575125875</v>
      </c>
      <c r="C20" s="12" t="n">
        <v>0.25598438535759</v>
      </c>
      <c r="D20" s="12" t="n">
        <v>0.1824889173633142</v>
      </c>
      <c r="E20" s="12" t="n">
        <v>0.2154570580407411</v>
      </c>
      <c r="F20" s="12" t="n">
        <v>0.2253191489361702</v>
      </c>
    </row>
    <row r="21">
      <c r="A21" s="11" t="inlineStr">
        <is>
          <t>EBITDA Margin</t>
        </is>
      </c>
      <c r="B21" s="12" t="n">
        <v>0.1747765825019044</v>
      </c>
      <c r="C21" s="12" t="n">
        <v>0.2157938670791289</v>
      </c>
      <c r="D21" s="12" t="n">
        <v>0.140101061246422</v>
      </c>
      <c r="E21" s="12" t="n">
        <v>0.1818507523799775</v>
      </c>
      <c r="F21" s="12" t="n">
        <v>0.1925177304964539</v>
      </c>
    </row>
    <row r="22">
      <c r="A22" s="11" t="inlineStr">
        <is>
          <t>Operating Margin</t>
        </is>
      </c>
      <c r="B22" s="12" t="n">
        <v>0.1206918975159318</v>
      </c>
      <c r="C22" s="12" t="n">
        <v>0.1697969605460214</v>
      </c>
      <c r="D22" s="12" t="n">
        <v>0.09187479978919739</v>
      </c>
      <c r="E22" s="12" t="n">
        <v>0.1227863650322449</v>
      </c>
      <c r="F22" s="12" t="n">
        <v>0.1357801418439716</v>
      </c>
    </row>
    <row r="23">
      <c r="A23" s="11" t="inlineStr">
        <is>
          <t>Net Margin</t>
        </is>
      </c>
      <c r="B23" s="12" t="n">
        <v>0.1025398064024673</v>
      </c>
      <c r="C23" s="12" t="n">
        <v>0.1541332154869755</v>
      </c>
      <c r="D23" s="12" t="n">
        <v>0.08192367705868372</v>
      </c>
      <c r="E23" s="12" t="n">
        <v>0.07258675401781145</v>
      </c>
      <c r="F23" s="12" t="n">
        <v>0.09042553191489362</v>
      </c>
    </row>
    <row r="24">
      <c r="A24" s="11" t="inlineStr">
        <is>
          <t>Revenue Growth YoY</t>
        </is>
      </c>
      <c r="B24" s="12" t="n"/>
      <c r="C24" s="12" t="n">
        <v>0.5135165263920629</v>
      </c>
      <c r="D24" s="12" t="n">
        <v>0.1879526650462792</v>
      </c>
      <c r="E24" s="12" t="n">
        <v>0.009475783534663594</v>
      </c>
      <c r="F24" s="12" t="n">
        <v>0.1546729450301976</v>
      </c>
    </row>
    <row r="26">
      <c r="A26" s="1" t="inlineStr">
        <is>
          <t>Balance Sheet</t>
        </is>
      </c>
    </row>
    <row r="27">
      <c r="A27" s="3" t="inlineStr">
        <is>
          <t>Metric</t>
        </is>
      </c>
      <c r="B27" s="3" t="inlineStr">
        <is>
          <t>FY2021</t>
        </is>
      </c>
      <c r="C27" s="3" t="inlineStr">
        <is>
          <t>FY2022</t>
        </is>
      </c>
      <c r="D27" s="3" t="inlineStr">
        <is>
          <t>FY2023</t>
        </is>
      </c>
      <c r="E27" s="3" t="inlineStr">
        <is>
          <t>FY2024</t>
        </is>
      </c>
      <c r="F27" s="3" t="inlineStr">
        <is>
          <t>FY2025E</t>
        </is>
      </c>
    </row>
    <row r="28">
      <c r="A28" s="4" t="inlineStr">
        <is>
          <t>Cash &amp; Equivalents</t>
        </is>
      </c>
      <c r="B28" s="5" t="n">
        <v>17576</v>
      </c>
      <c r="C28" s="5" t="n">
        <v>22185</v>
      </c>
      <c r="D28" s="5" t="n">
        <v>29094</v>
      </c>
      <c r="E28" s="5" t="n">
        <v>36563</v>
      </c>
      <c r="F28" s="5" t="n">
        <v>38200</v>
      </c>
    </row>
    <row r="29">
      <c r="A29" s="4" t="inlineStr">
        <is>
          <t>Current Assets</t>
        </is>
      </c>
      <c r="B29" s="5" t="n">
        <v>27100</v>
      </c>
      <c r="C29" s="5" t="n">
        <v>40917</v>
      </c>
      <c r="D29" s="5" t="n">
        <v>49616</v>
      </c>
      <c r="E29" s="5" t="n">
        <v>56078</v>
      </c>
      <c r="F29" s="5" t="n">
        <v>60500</v>
      </c>
    </row>
    <row r="30">
      <c r="A30" s="6" t="inlineStr">
        <is>
          <t>Total Assets</t>
        </is>
      </c>
      <c r="B30" s="7" t="n">
        <v>62131</v>
      </c>
      <c r="C30" s="7" t="n">
        <v>82338</v>
      </c>
      <c r="D30" s="7" t="n">
        <v>106618</v>
      </c>
      <c r="E30" s="7" t="n">
        <v>122070</v>
      </c>
      <c r="F30" s="7" t="n">
        <v>138000</v>
      </c>
    </row>
    <row r="31">
      <c r="A31" s="4" t="inlineStr">
        <is>
          <t>Current Liabilities</t>
        </is>
      </c>
      <c r="B31" s="5" t="n">
        <v>19705</v>
      </c>
      <c r="C31" s="5" t="n">
        <v>26709</v>
      </c>
      <c r="D31" s="5" t="n">
        <v>28748</v>
      </c>
      <c r="E31" s="5" t="n">
        <v>29566</v>
      </c>
      <c r="F31" s="5" t="n">
        <v>32500</v>
      </c>
    </row>
    <row r="32">
      <c r="A32" s="4" t="inlineStr">
        <is>
          <t>Total Debt</t>
        </is>
      </c>
      <c r="B32" s="5" t="n">
        <v>8874</v>
      </c>
      <c r="C32" s="5" t="n">
        <v>5748</v>
      </c>
      <c r="D32" s="5" t="n">
        <v>5829</v>
      </c>
      <c r="E32" s="5" t="n">
        <v>7547</v>
      </c>
      <c r="F32" s="5" t="n">
        <v>7200</v>
      </c>
    </row>
    <row r="33">
      <c r="A33" s="9" t="inlineStr">
        <is>
          <t>Total Equity</t>
        </is>
      </c>
      <c r="B33" s="10" t="n">
        <v>30189</v>
      </c>
      <c r="C33" s="10" t="n">
        <v>44704</v>
      </c>
      <c r="D33" s="10" t="n">
        <v>62634</v>
      </c>
      <c r="E33" s="10" t="n">
        <v>72941</v>
      </c>
      <c r="F33" s="10" t="n">
        <v>83100</v>
      </c>
    </row>
    <row r="34">
      <c r="A34" s="11" t="inlineStr">
        <is>
          <t>Net Working Capital</t>
        </is>
      </c>
      <c r="B34" s="13" t="n">
        <v>7395</v>
      </c>
      <c r="C34" s="13" t="n">
        <v>14208</v>
      </c>
      <c r="D34" s="13" t="n">
        <v>20868</v>
      </c>
      <c r="E34" s="13" t="n">
        <v>26512</v>
      </c>
      <c r="F34" s="13" t="n">
        <v>28000</v>
      </c>
    </row>
    <row r="35">
      <c r="A35" s="11" t="inlineStr">
        <is>
          <t>Return on Equity (ROE)</t>
        </is>
      </c>
      <c r="B35" s="12" t="n">
        <v>0.1828149325913412</v>
      </c>
      <c r="C35" s="12" t="n">
        <v>0.2808697208303508</v>
      </c>
      <c r="D35" s="12" t="n">
        <v>0.1265766197273047</v>
      </c>
      <c r="E35" s="12" t="n">
        <v>0.09721555777957527</v>
      </c>
      <c r="F35" s="12" t="n">
        <v>0.1227436823104693</v>
      </c>
    </row>
    <row r="37">
      <c r="A37" s="1" t="inlineStr">
        <is>
          <t>Cash Flow Statement</t>
        </is>
      </c>
    </row>
    <row r="38">
      <c r="A38" s="3" t="inlineStr">
        <is>
          <t>Metric</t>
        </is>
      </c>
      <c r="B38" s="3" t="inlineStr">
        <is>
          <t>FY2021</t>
        </is>
      </c>
      <c r="C38" s="3" t="inlineStr">
        <is>
          <t>FY2022</t>
        </is>
      </c>
      <c r="D38" s="3" t="inlineStr">
        <is>
          <t>FY2023</t>
        </is>
      </c>
      <c r="E38" s="3" t="inlineStr">
        <is>
          <t>FY2024</t>
        </is>
      </c>
      <c r="F38" s="3" t="inlineStr">
        <is>
          <t>FY2025E</t>
        </is>
      </c>
    </row>
    <row r="39">
      <c r="A39" s="4" t="inlineStr">
        <is>
          <t>Operating Cash Flow</t>
        </is>
      </c>
      <c r="B39" s="5" t="n">
        <v>11497</v>
      </c>
      <c r="C39" s="5" t="n">
        <v>14724</v>
      </c>
      <c r="D39" s="5" t="n">
        <v>13256</v>
      </c>
      <c r="E39" s="5" t="n">
        <v>12032</v>
      </c>
      <c r="F39" s="5" t="n">
        <v>16500</v>
      </c>
    </row>
    <row r="40">
      <c r="A40" s="4" t="inlineStr">
        <is>
          <t>Capital Expenditures</t>
        </is>
      </c>
      <c r="B40" s="5" t="n">
        <v>-6514</v>
      </c>
      <c r="C40" s="5" t="n">
        <v>-7158</v>
      </c>
      <c r="D40" s="5" t="n">
        <v>-8877</v>
      </c>
      <c r="E40" s="5" t="n">
        <v>-11339</v>
      </c>
      <c r="F40" s="5" t="n">
        <v>-12000</v>
      </c>
    </row>
    <row r="41">
      <c r="A41" s="9" t="inlineStr">
        <is>
          <t>Free Cash Flow</t>
        </is>
      </c>
      <c r="B41" s="10" t="n">
        <v>4983</v>
      </c>
      <c r="C41" s="10" t="n">
        <v>7566</v>
      </c>
      <c r="D41" s="10" t="n">
        <v>4379</v>
      </c>
      <c r="E41" s="10" t="n">
        <v>693</v>
      </c>
      <c r="F41" s="10" t="n">
        <v>4500</v>
      </c>
    </row>
    <row r="42">
      <c r="A42" s="11" t="inlineStr">
        <is>
          <t>Shares Outstanding (M)</t>
        </is>
      </c>
      <c r="B42" s="13" t="n">
        <v>3009</v>
      </c>
      <c r="C42" s="13" t="n">
        <v>3164</v>
      </c>
      <c r="D42" s="13" t="n">
        <v>3174</v>
      </c>
      <c r="E42" s="13" t="n">
        <v>3211</v>
      </c>
      <c r="F42" s="13" t="n">
        <v>3220</v>
      </c>
    </row>
  </sheetData>
  <mergeCells count="5">
    <mergeCell ref="A1:F1"/>
    <mergeCell ref="A37:F37"/>
    <mergeCell ref="A18:F18"/>
    <mergeCell ref="A4:F4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00"/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Discounted Cash Flow (DCF) Valuation Model</t>
        </is>
      </c>
    </row>
    <row r="2">
      <c r="A2" s="2" t="inlineStr">
        <is>
          <t>5-Year projection with Gordon Growth Terminal Value</t>
        </is>
      </c>
    </row>
    <row r="4">
      <c r="A4" s="1" t="inlineStr">
        <is>
          <t>WACC Calculation</t>
        </is>
      </c>
    </row>
    <row r="5">
      <c r="A5" s="3" t="inlineStr">
        <is>
          <t>Parameter</t>
        </is>
      </c>
      <c r="B5" s="3" t="inlineStr">
        <is>
          <t>Value</t>
        </is>
      </c>
      <c r="C5" s="3" t="inlineStr"/>
    </row>
    <row r="6">
      <c r="A6" s="4" t="inlineStr">
        <is>
          <t>Risk-Free Rate (Rf)</t>
        </is>
      </c>
      <c r="B6" s="14" t="n">
        <v>0.038</v>
      </c>
    </row>
    <row r="7">
      <c r="A7" s="4" t="inlineStr">
        <is>
          <t>Beta (β)</t>
        </is>
      </c>
      <c r="B7" s="15" t="n">
        <v>1.25</v>
      </c>
    </row>
    <row r="8">
      <c r="A8" s="4" t="inlineStr">
        <is>
          <t>Equity Risk Premium (ERP)</t>
        </is>
      </c>
      <c r="B8" s="14" t="n">
        <v>0.05</v>
      </c>
    </row>
    <row r="9">
      <c r="A9" s="4" t="inlineStr">
        <is>
          <t>Cost of Equity (Ke)</t>
        </is>
      </c>
      <c r="B9" s="14" t="n">
        <v>0.1005</v>
      </c>
    </row>
    <row r="10">
      <c r="A10" s="4" t="inlineStr">
        <is>
          <t>Pre-Tax Cost of Debt (Kd)</t>
        </is>
      </c>
      <c r="B10" s="14" t="n">
        <v>0.045</v>
      </c>
    </row>
    <row r="11">
      <c r="A11" s="4" t="inlineStr">
        <is>
          <t>Tax Rate</t>
        </is>
      </c>
      <c r="B11" s="14" t="n">
        <v>0.21</v>
      </c>
    </row>
    <row r="12">
      <c r="A12" s="4" t="inlineStr">
        <is>
          <t>After-Tax Cost of Debt</t>
        </is>
      </c>
      <c r="B12" s="14" t="n">
        <v>0.03555</v>
      </c>
    </row>
    <row r="13">
      <c r="A13" s="4" t="inlineStr">
        <is>
          <t>Equity Weight (E/V)</t>
        </is>
      </c>
      <c r="B13" s="14" t="n">
        <v>0.92</v>
      </c>
    </row>
    <row r="14">
      <c r="A14" s="4" t="inlineStr">
        <is>
          <t>Debt Weight (D/V)</t>
        </is>
      </c>
      <c r="B14" s="14" t="n">
        <v>0.08</v>
      </c>
    </row>
    <row r="15">
      <c r="A15" s="9" t="inlineStr">
        <is>
          <t>WACC</t>
        </is>
      </c>
      <c r="B15" s="16" t="n">
        <v>0.0953</v>
      </c>
    </row>
    <row r="17">
      <c r="A17" s="1" t="inlineStr">
        <is>
          <t>5-Year Revenue &amp; FCF Projections</t>
        </is>
      </c>
    </row>
    <row r="18">
      <c r="A18" s="3" t="inlineStr">
        <is>
          <t>Metric</t>
        </is>
      </c>
      <c r="B18" s="3" t="inlineStr">
        <is>
          <t>Base (FY2025E)</t>
        </is>
      </c>
      <c r="C18" s="3" t="inlineStr">
        <is>
          <t>FY2026E</t>
        </is>
      </c>
      <c r="D18" s="3" t="inlineStr">
        <is>
          <t>FY2027E</t>
        </is>
      </c>
      <c r="E18" s="3" t="inlineStr">
        <is>
          <t>FY2028E</t>
        </is>
      </c>
      <c r="F18" s="3" t="inlineStr">
        <is>
          <t>FY2029E</t>
        </is>
      </c>
      <c r="G18" s="3" t="inlineStr">
        <is>
          <t>FY2030E</t>
        </is>
      </c>
    </row>
    <row r="19">
      <c r="A19" s="4" t="inlineStr">
        <is>
          <t>Revenue Growth</t>
        </is>
      </c>
      <c r="B19" s="17" t="n"/>
      <c r="C19" s="17" t="n">
        <v>0.12</v>
      </c>
      <c r="D19" s="17" t="n">
        <v>0.1</v>
      </c>
      <c r="E19" s="17" t="n">
        <v>0.09</v>
      </c>
      <c r="F19" s="17" t="n">
        <v>0.08</v>
      </c>
      <c r="G19" s="17" t="n">
        <v>0.07000000000000001</v>
      </c>
    </row>
    <row r="20">
      <c r="A20" s="4" t="inlineStr">
        <is>
          <t>Revenue</t>
        </is>
      </c>
      <c r="B20" s="5" t="n">
        <v>112800</v>
      </c>
      <c r="C20" s="5" t="n">
        <v>126336</v>
      </c>
      <c r="D20" s="5" t="n">
        <v>138969.6</v>
      </c>
      <c r="E20" s="5" t="n">
        <v>151476.8640000001</v>
      </c>
      <c r="F20" s="5" t="n">
        <v>163595.0131200001</v>
      </c>
      <c r="G20" s="5" t="n">
        <v>175046.6640384001</v>
      </c>
    </row>
    <row r="21">
      <c r="A21" s="4" t="inlineStr">
        <is>
          <t>EBITDA Margin</t>
        </is>
      </c>
      <c r="B21" s="17" t="n"/>
      <c r="C21" s="17" t="n">
        <v>0.193</v>
      </c>
      <c r="D21" s="17" t="n">
        <v>0.195</v>
      </c>
      <c r="E21" s="17" t="n">
        <v>0.198</v>
      </c>
      <c r="F21" s="17" t="n">
        <v>0.2</v>
      </c>
      <c r="G21" s="17" t="n">
        <v>0.205</v>
      </c>
    </row>
    <row r="22">
      <c r="A22" s="4" t="inlineStr">
        <is>
          <t>EBITDA</t>
        </is>
      </c>
      <c r="B22" s="5" t="n"/>
      <c r="C22" s="5" t="n">
        <v>24382.848</v>
      </c>
      <c r="D22" s="5" t="n">
        <v>27099.07200000001</v>
      </c>
      <c r="E22" s="5" t="n">
        <v>29992.41907200001</v>
      </c>
      <c r="F22" s="5" t="n">
        <v>32719.00262400002</v>
      </c>
      <c r="G22" s="5" t="n">
        <v>35884.56612787201</v>
      </c>
    </row>
    <row r="23">
      <c r="A23" s="4" t="inlineStr">
        <is>
          <t>D&amp;A</t>
        </is>
      </c>
      <c r="B23" s="5" t="n"/>
      <c r="C23" s="5" t="n">
        <v>7201.152000000001</v>
      </c>
      <c r="D23" s="5" t="n">
        <v>7643.328000000002</v>
      </c>
      <c r="E23" s="5" t="n">
        <v>8179.750656000003</v>
      </c>
      <c r="F23" s="5" t="n">
        <v>8506.940682240003</v>
      </c>
      <c r="G23" s="5" t="n">
        <v>8752.333201920004</v>
      </c>
    </row>
    <row r="24">
      <c r="A24" s="4" t="inlineStr">
        <is>
          <t>EBIT</t>
        </is>
      </c>
      <c r="B24" s="5" t="n"/>
      <c r="C24" s="5" t="n">
        <v>17181.696</v>
      </c>
      <c r="D24" s="5" t="n">
        <v>19455.74400000001</v>
      </c>
      <c r="E24" s="5" t="n">
        <v>21812.66841600001</v>
      </c>
      <c r="F24" s="5" t="n">
        <v>24212.06194176001</v>
      </c>
      <c r="G24" s="5" t="n">
        <v>27132.23292595201</v>
      </c>
    </row>
    <row r="25">
      <c r="A25" s="4" t="inlineStr">
        <is>
          <t>EBIT × (1 - t)</t>
        </is>
      </c>
      <c r="B25" s="5" t="n"/>
      <c r="C25" s="5" t="n">
        <v>13573.53984</v>
      </c>
      <c r="D25" s="5" t="n">
        <v>15370.03776</v>
      </c>
      <c r="E25" s="5" t="n">
        <v>17232.00804864001</v>
      </c>
      <c r="F25" s="5" t="n">
        <v>19127.52893399041</v>
      </c>
      <c r="G25" s="5" t="n">
        <v>21434.46401150209</v>
      </c>
    </row>
    <row r="26">
      <c r="A26" s="4" t="inlineStr">
        <is>
          <t>+ D&amp;A</t>
        </is>
      </c>
      <c r="B26" s="5" t="n"/>
      <c r="C26" s="5" t="n">
        <v>7201.152000000001</v>
      </c>
      <c r="D26" s="5" t="n">
        <v>7643.328000000002</v>
      </c>
      <c r="E26" s="5" t="n">
        <v>8179.750656000003</v>
      </c>
      <c r="F26" s="5" t="n">
        <v>8506.940682240003</v>
      </c>
      <c r="G26" s="5" t="n">
        <v>8752.333201920004</v>
      </c>
    </row>
    <row r="27">
      <c r="A27" s="4" t="inlineStr">
        <is>
          <t>- CapEx</t>
        </is>
      </c>
      <c r="B27" s="5" t="n"/>
      <c r="C27" s="5" t="n">
        <v>-12001.92</v>
      </c>
      <c r="D27" s="5" t="n">
        <v>-12507.264</v>
      </c>
      <c r="E27" s="5" t="n">
        <v>-13329.96403200001</v>
      </c>
      <c r="F27" s="5" t="n">
        <v>-13905.57611520001</v>
      </c>
      <c r="G27" s="5" t="n">
        <v>-14353.82645114881</v>
      </c>
    </row>
    <row r="28">
      <c r="A28" s="4" t="inlineStr">
        <is>
          <t>- Δ NWC</t>
        </is>
      </c>
      <c r="B28" s="5" t="n"/>
      <c r="C28" s="5" t="n">
        <v>-3609.600000000002</v>
      </c>
      <c r="D28" s="5" t="n">
        <v>-2463.552000000007</v>
      </c>
      <c r="E28" s="5" t="n">
        <v>-2306.895360000002</v>
      </c>
      <c r="F28" s="5" t="n">
        <v>-2090.380723200004</v>
      </c>
      <c r="G28" s="5" t="n">
        <v>-1815.904645632007</v>
      </c>
    </row>
    <row r="29">
      <c r="A29" s="9" t="inlineStr">
        <is>
          <t>Free Cash Flow (FCF)</t>
        </is>
      </c>
      <c r="B29" s="10" t="n"/>
      <c r="C29" s="10" t="n">
        <v>5163.171839999999</v>
      </c>
      <c r="D29" s="10" t="n">
        <v>8042.549759999998</v>
      </c>
      <c r="E29" s="10" t="n">
        <v>9774.899312640004</v>
      </c>
      <c r="F29" s="10" t="n">
        <v>11638.5127778304</v>
      </c>
      <c r="G29" s="10" t="n">
        <v>14017.06611664128</v>
      </c>
    </row>
    <row r="31">
      <c r="A31" s="1" t="inlineStr">
        <is>
          <t>Present Value Calculation</t>
        </is>
      </c>
    </row>
    <row r="32">
      <c r="A32" s="3" t="inlineStr">
        <is>
          <t>Metric</t>
        </is>
      </c>
      <c r="B32" s="3" t="inlineStr"/>
      <c r="C32" s="3" t="inlineStr">
        <is>
          <t>FY2026E</t>
        </is>
      </c>
      <c r="D32" s="3" t="inlineStr">
        <is>
          <t>FY2027E</t>
        </is>
      </c>
      <c r="E32" s="3" t="inlineStr">
        <is>
          <t>FY2028E</t>
        </is>
      </c>
      <c r="F32" s="3" t="inlineStr">
        <is>
          <t>FY2029E</t>
        </is>
      </c>
      <c r="G32" s="3" t="inlineStr">
        <is>
          <t>FY2030E</t>
        </is>
      </c>
    </row>
    <row r="33">
      <c r="A33" s="4" t="inlineStr">
        <is>
          <t>Discount Factor</t>
        </is>
      </c>
      <c r="B33" s="18" t="n"/>
      <c r="C33" s="18" t="n">
        <v>0.9129918743723181</v>
      </c>
      <c r="D33" s="18" t="n">
        <v>0.8335541626698787</v>
      </c>
      <c r="E33" s="18" t="n">
        <v>0.7610281773668207</v>
      </c>
      <c r="F33" s="18" t="n">
        <v>0.6948125421042827</v>
      </c>
      <c r="G33" s="18" t="n">
        <v>0.6343582051531842</v>
      </c>
    </row>
    <row r="34">
      <c r="A34" s="6" t="inlineStr">
        <is>
          <t>PV of FCF</t>
        </is>
      </c>
      <c r="B34" s="7" t="n"/>
      <c r="C34" s="7" t="n">
        <v>4713.933935907969</v>
      </c>
      <c r="D34" s="7" t="n">
        <v>6703.900830927632</v>
      </c>
      <c r="E34" s="7" t="n">
        <v>7438.973807842611</v>
      </c>
      <c r="F34" s="7" t="n">
        <v>8086.584649477516</v>
      </c>
      <c r="G34" s="7" t="n">
        <v>8891.840903266078</v>
      </c>
    </row>
    <row r="36">
      <c r="A36" s="1" t="inlineStr">
        <is>
          <t>Terminal Value &amp; Enterprise Value Bridge</t>
        </is>
      </c>
    </row>
    <row r="37">
      <c r="A37" s="3" t="inlineStr">
        <is>
          <t>Component</t>
        </is>
      </c>
      <c r="B37" s="3" t="inlineStr">
        <is>
          <t>Value ($M)</t>
        </is>
      </c>
      <c r="C37" s="3" t="inlineStr"/>
      <c r="D37" s="3" t="inlineStr"/>
    </row>
    <row r="38">
      <c r="A38" s="8" t="inlineStr">
        <is>
          <t>Terminal Growth Rate (g)</t>
        </is>
      </c>
      <c r="B38" s="14" t="n">
        <v>0.025</v>
      </c>
    </row>
    <row r="39">
      <c r="A39" s="8" t="inlineStr">
        <is>
          <t>Terminal Year FCF × (1+g)</t>
        </is>
      </c>
      <c r="B39" s="5" t="n">
        <v>14367.49276955732</v>
      </c>
    </row>
    <row r="40">
      <c r="A40" s="8" t="inlineStr">
        <is>
          <t>Terminal Value</t>
        </is>
      </c>
      <c r="B40" s="5" t="n">
        <v>204374.008101811</v>
      </c>
    </row>
    <row r="41">
      <c r="A41" s="6" t="inlineStr">
        <is>
          <t>PV of Terminal Value</t>
        </is>
      </c>
      <c r="B41" s="7" t="n">
        <v>129646.3289594272</v>
      </c>
    </row>
    <row r="43">
      <c r="A43" s="8" t="inlineStr">
        <is>
          <t>Sum of PV(FCFs)</t>
        </is>
      </c>
      <c r="B43" s="5" t="n">
        <v>35835.23412742181</v>
      </c>
    </row>
    <row r="44">
      <c r="A44" s="8" t="inlineStr">
        <is>
          <t>+ PV of Terminal Value</t>
        </is>
      </c>
      <c r="B44" s="5" t="n">
        <v>129646.3289594272</v>
      </c>
    </row>
    <row r="45">
      <c r="A45" s="6">
        <f> Enterprise Value</f>
        <v/>
      </c>
      <c r="B45" s="7" t="n">
        <v>165481.563086849</v>
      </c>
    </row>
    <row r="46">
      <c r="A46" s="8" t="inlineStr">
        <is>
          <t>- Net Debt (+ = Cash)</t>
        </is>
      </c>
      <c r="B46" s="5" t="n">
        <v>31000</v>
      </c>
    </row>
    <row r="47">
      <c r="A47" s="9">
        <f> Equity Value</f>
        <v/>
      </c>
      <c r="B47" s="10" t="n">
        <v>196481.563086849</v>
      </c>
    </row>
    <row r="48">
      <c r="A48" s="8" t="inlineStr">
        <is>
          <t>/ Shares Outstanding (M)</t>
        </is>
      </c>
      <c r="B48" s="5" t="n">
        <v>3220</v>
      </c>
    </row>
    <row r="49">
      <c r="A49" s="9" t="inlineStr">
        <is>
          <t>Implied Price per Share</t>
        </is>
      </c>
      <c r="B49" s="19" t="n">
        <v>61.01911897107111</v>
      </c>
    </row>
    <row r="51">
      <c r="A51" s="8" t="inlineStr">
        <is>
          <t>Current Market Price</t>
        </is>
      </c>
      <c r="B51" s="20" t="n">
        <v>295</v>
      </c>
    </row>
    <row r="52">
      <c r="A52" s="11" t="inlineStr">
        <is>
          <t>Upside / (Downside)</t>
        </is>
      </c>
      <c r="B52" s="12" t="n">
        <v>-0.7931555289116233</v>
      </c>
    </row>
  </sheetData>
  <mergeCells count="5">
    <mergeCell ref="A1:G1"/>
    <mergeCell ref="A17:G17"/>
    <mergeCell ref="A31:G31"/>
    <mergeCell ref="A4:C4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CC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Comparable Company Analysis</t>
        </is>
      </c>
    </row>
    <row r="2">
      <c r="A2" s="2" t="inlineStr">
        <is>
          <t>Benchmarking Tesla against EV/Auto industry peers</t>
        </is>
      </c>
    </row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Market Cap ($M)</t>
        </is>
      </c>
      <c r="D4" s="3" t="inlineStr">
        <is>
          <t>EV ($M)</t>
        </is>
      </c>
      <c r="E4" s="3" t="inlineStr">
        <is>
          <t>EV/Revenue</t>
        </is>
      </c>
      <c r="F4" s="3" t="inlineStr">
        <is>
          <t>EV/EBITDA</t>
        </is>
      </c>
      <c r="G4" s="3" t="inlineStr">
        <is>
          <t>P/E</t>
        </is>
      </c>
      <c r="H4" s="3" t="inlineStr">
        <is>
          <t>Rev Growth</t>
        </is>
      </c>
      <c r="I4" s="3" t="inlineStr">
        <is>
          <t>Gross Margin</t>
        </is>
      </c>
    </row>
    <row r="5">
      <c r="A5" s="21" t="inlineStr">
        <is>
          <t>Tesla</t>
        </is>
      </c>
      <c r="B5" s="22" t="inlineStr">
        <is>
          <t>TSLA</t>
        </is>
      </c>
      <c r="C5" s="23" t="n">
        <v>949900</v>
      </c>
      <c r="D5" s="23" t="n">
        <v>918900</v>
      </c>
      <c r="E5" s="24" t="n">
        <v>8.140000000000001</v>
      </c>
      <c r="F5" s="24" t="n">
        <v>42.3</v>
      </c>
      <c r="G5" s="24" t="n">
        <v>93.09999999999999</v>
      </c>
      <c r="H5" s="25" t="n">
        <v>0.155</v>
      </c>
      <c r="I5" s="25" t="n">
        <v>0.225</v>
      </c>
    </row>
    <row r="6">
      <c r="A6" s="26" t="inlineStr">
        <is>
          <t>BYD Co.</t>
        </is>
      </c>
      <c r="B6" s="27" t="inlineStr">
        <is>
          <t>BYDDY</t>
        </is>
      </c>
      <c r="C6" s="28" t="n">
        <v>128500</v>
      </c>
      <c r="D6" s="28" t="n">
        <v>135200</v>
      </c>
      <c r="E6" s="29" t="n">
        <v>1.51</v>
      </c>
      <c r="F6" s="29" t="n">
        <v>12.4</v>
      </c>
      <c r="G6" s="29" t="n">
        <v>18.5</v>
      </c>
      <c r="H6" s="30" t="n">
        <v>0.23</v>
      </c>
      <c r="I6" s="30" t="n">
        <v>0.195</v>
      </c>
    </row>
    <row r="7">
      <c r="A7" s="26" t="inlineStr">
        <is>
          <t>Rivian Automotive</t>
        </is>
      </c>
      <c r="B7" s="27" t="inlineStr">
        <is>
          <t>RIVN</t>
        </is>
      </c>
      <c r="C7" s="28" t="n">
        <v>17800</v>
      </c>
      <c r="D7" s="28" t="n">
        <v>21500</v>
      </c>
      <c r="E7" s="29" t="n">
        <v>3.47</v>
      </c>
      <c r="F7" s="27" t="inlineStr">
        <is>
          <t>N/M</t>
        </is>
      </c>
      <c r="G7" s="27" t="inlineStr">
        <is>
          <t>N/M</t>
        </is>
      </c>
      <c r="H7" s="30" t="n">
        <v>0.52</v>
      </c>
      <c r="I7" s="30" t="n">
        <v>-0.42</v>
      </c>
    </row>
    <row r="8">
      <c r="A8" s="26" t="inlineStr">
        <is>
          <t>Lucid Group</t>
        </is>
      </c>
      <c r="B8" s="27" t="inlineStr">
        <is>
          <t>LCID</t>
        </is>
      </c>
      <c r="C8" s="28" t="n">
        <v>6900</v>
      </c>
      <c r="D8" s="28" t="n">
        <v>8200</v>
      </c>
      <c r="E8" s="29" t="n">
        <v>3.9</v>
      </c>
      <c r="F8" s="27" t="inlineStr">
        <is>
          <t>N/M</t>
        </is>
      </c>
      <c r="G8" s="27" t="inlineStr">
        <is>
          <t>N/M</t>
        </is>
      </c>
      <c r="H8" s="30" t="n">
        <v>0.35</v>
      </c>
      <c r="I8" s="30" t="n">
        <v>-0.95</v>
      </c>
    </row>
    <row r="9">
      <c r="A9" s="26" t="inlineStr">
        <is>
          <t>Ford Motor Co.</t>
        </is>
      </c>
      <c r="B9" s="27" t="inlineStr">
        <is>
          <t>F</t>
        </is>
      </c>
      <c r="C9" s="28" t="n">
        <v>42300</v>
      </c>
      <c r="D9" s="28" t="n">
        <v>98700</v>
      </c>
      <c r="E9" s="29" t="n">
        <v>0.6</v>
      </c>
      <c r="F9" s="29" t="n">
        <v>6.2</v>
      </c>
      <c r="G9" s="29" t="n">
        <v>8.300000000000001</v>
      </c>
      <c r="H9" s="30" t="n">
        <v>-0.02</v>
      </c>
      <c r="I9" s="30" t="n">
        <v>0.09</v>
      </c>
    </row>
    <row r="12">
      <c r="A12" s="1" t="inlineStr">
        <is>
          <t>Implied Valuation from Peer Multiples</t>
        </is>
      </c>
    </row>
    <row r="13">
      <c r="A13" s="31" t="inlineStr">
        <is>
          <t>Method</t>
        </is>
      </c>
      <c r="B13" s="31" t="inlineStr">
        <is>
          <t>Peer Median</t>
        </is>
      </c>
      <c r="C13" s="31" t="inlineStr">
        <is>
          <t>Tesla Metric</t>
        </is>
      </c>
      <c r="D13" s="31" t="inlineStr">
        <is>
          <t>Implied EV ($M)</t>
        </is>
      </c>
      <c r="E13" s="31" t="inlineStr">
        <is>
          <t>Implied Price</t>
        </is>
      </c>
    </row>
    <row r="14">
      <c r="A14" s="32" t="inlineStr">
        <is>
          <t>EV/EBITDA</t>
        </is>
      </c>
      <c r="B14" s="33" t="n">
        <v>12.4</v>
      </c>
      <c r="C14" s="34" t="n">
        <v>21716</v>
      </c>
      <c r="D14" s="34" t="n">
        <v>269278.4</v>
      </c>
      <c r="E14" s="35" t="n">
        <v>93.25416149068323</v>
      </c>
    </row>
    <row r="15">
      <c r="A15" s="32" t="inlineStr">
        <is>
          <t>EV/Revenue</t>
        </is>
      </c>
      <c r="B15" s="33" t="n">
        <v>3.47</v>
      </c>
      <c r="C15" s="34" t="n">
        <v>112800</v>
      </c>
      <c r="D15" s="34" t="n">
        <v>391416</v>
      </c>
      <c r="E15" s="35" t="n">
        <v>131.1850931677019</v>
      </c>
    </row>
    <row r="16">
      <c r="A16" s="32" t="inlineStr">
        <is>
          <t>P/E Ratio</t>
        </is>
      </c>
      <c r="B16" s="33" t="n">
        <v>18.5</v>
      </c>
      <c r="C16" s="34" t="n">
        <v>10200</v>
      </c>
      <c r="D16" s="34" t="n">
        <v>188700</v>
      </c>
      <c r="E16" s="35" t="n">
        <v>58.60248447204969</v>
      </c>
    </row>
  </sheetData>
  <mergeCells count="2">
    <mergeCell ref="A12:E1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Sensitivity Analysis — Implied Share Price ($)</t>
        </is>
      </c>
    </row>
    <row r="2">
      <c r="A2" s="2" t="inlineStr">
        <is>
          <t>Revenue Growth Δ (rows) × WACC (columns)</t>
        </is>
      </c>
    </row>
    <row r="4">
      <c r="A4" s="3" t="inlineStr">
        <is>
          <t>Rev Growth Δ \ WACC</t>
        </is>
      </c>
      <c r="B4" s="3" t="inlineStr">
        <is>
          <t>8.0%</t>
        </is>
      </c>
      <c r="C4" s="3" t="inlineStr">
        <is>
          <t>8.5%</t>
        </is>
      </c>
      <c r="D4" s="3" t="inlineStr">
        <is>
          <t>9.0%</t>
        </is>
      </c>
      <c r="E4" s="3" t="inlineStr">
        <is>
          <t>9.5%</t>
        </is>
      </c>
      <c r="F4" s="3" t="inlineStr">
        <is>
          <t>10.0%</t>
        </is>
      </c>
      <c r="G4" s="3" t="inlineStr">
        <is>
          <t>10.5%</t>
        </is>
      </c>
      <c r="H4" s="3" t="inlineStr">
        <is>
          <t>11.0%</t>
        </is>
      </c>
    </row>
    <row r="5">
      <c r="A5" s="36" t="inlineStr">
        <is>
          <t>-2%</t>
        </is>
      </c>
      <c r="B5" s="37" t="n">
        <v>73.92630976549599</v>
      </c>
      <c r="C5" s="37" t="n">
        <v>68.28937155838973</v>
      </c>
      <c r="D5" s="37" t="n">
        <v>63.52060578901772</v>
      </c>
      <c r="E5" s="38" t="n">
        <v>59.43466180937368</v>
      </c>
      <c r="F5" s="37" t="n">
        <v>55.89542177909068</v>
      </c>
      <c r="G5" s="37" t="n">
        <v>52.8006728010426</v>
      </c>
      <c r="H5" s="37" t="n">
        <v>50.07216986834886</v>
      </c>
    </row>
    <row r="6">
      <c r="A6" s="36" t="inlineStr">
        <is>
          <t>-1%</t>
        </is>
      </c>
      <c r="B6" s="37" t="n">
        <v>75.02456943269814</v>
      </c>
      <c r="C6" s="37" t="n">
        <v>69.27030106885728</v>
      </c>
      <c r="D6" s="37" t="n">
        <v>64.40263880507224</v>
      </c>
      <c r="E6" s="38" t="n">
        <v>60.23228815380083</v>
      </c>
      <c r="F6" s="37" t="n">
        <v>56.62023522823889</v>
      </c>
      <c r="G6" s="37" t="n">
        <v>53.46209265649079</v>
      </c>
      <c r="H6" s="37" t="n">
        <v>50.6779510395247</v>
      </c>
    </row>
    <row r="7">
      <c r="A7" s="39" t="inlineStr">
        <is>
          <t>+0%</t>
        </is>
      </c>
      <c r="B7" s="38" t="n">
        <v>76.10948692630923</v>
      </c>
      <c r="C7" s="38" t="n">
        <v>70.23887333989329</v>
      </c>
      <c r="D7" s="38" t="n">
        <v>65.27315309319144</v>
      </c>
      <c r="E7" s="40" t="n">
        <v>61.01911897107111</v>
      </c>
      <c r="F7" s="38" t="n">
        <v>57.33488389290199</v>
      </c>
      <c r="G7" s="38" t="n">
        <v>54.11390317655004</v>
      </c>
      <c r="H7" s="38" t="n">
        <v>51.27461617423353</v>
      </c>
    </row>
    <row r="8">
      <c r="A8" s="36" t="inlineStr">
        <is>
          <t>+1%</t>
        </is>
      </c>
      <c r="B8" s="37" t="n">
        <v>77.17923530037638</v>
      </c>
      <c r="C8" s="37" t="n">
        <v>71.19343600163121</v>
      </c>
      <c r="D8" s="37" t="n">
        <v>66.13064371694287</v>
      </c>
      <c r="E8" s="38" t="n">
        <v>61.79377541616126</v>
      </c>
      <c r="F8" s="37" t="n">
        <v>58.0380979371487</v>
      </c>
      <c r="G8" s="37" t="n">
        <v>54.7549296505984</v>
      </c>
      <c r="H8" s="37" t="n">
        <v>51.86107425176072</v>
      </c>
    </row>
    <row r="9">
      <c r="A9" s="36" t="inlineStr">
        <is>
          <t>+2%</t>
        </is>
      </c>
      <c r="B9" s="37" t="n">
        <v>78.23192785628841</v>
      </c>
      <c r="C9" s="37" t="n">
        <v>72.13228281311267</v>
      </c>
      <c r="D9" s="37" t="n">
        <v>66.9735568311351</v>
      </c>
      <c r="E9" s="38" t="n">
        <v>62.55483397497813</v>
      </c>
      <c r="F9" s="37" t="n">
        <v>58.72856651738545</v>
      </c>
      <c r="G9" s="37" t="n">
        <v>55.38395955187245</v>
      </c>
      <c r="H9" s="37" t="n">
        <v>52.43619923985318</v>
      </c>
    </row>
    <row r="12">
      <c r="A12" s="41" t="inlineStr">
        <is>
          <t>Current Market Price: $295.00</t>
        </is>
      </c>
    </row>
    <row r="13">
      <c r="A13" s="2" t="inlineStr">
        <is>
          <t>Green = &gt;10% upside  |  Red = &gt;10% downside</t>
        </is>
      </c>
    </row>
    <row r="14">
      <c r="A14" s="2" t="inlineStr">
        <is>
          <t>Highlighted cells = base case assumptions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2026-09-10T17:23:19Z</dcterms:created>
  <dcterms:modified xmlns:dcterms="http://purl.org/dc/terms/" xmlns:xsi="http://www.w3.org/2001/XMLSchema-instance" xsi:type="dcterms:W3CDTF">2026-09-10T17:23:19Z</dcterms:modified>
</cp:coreProperties>
</file>