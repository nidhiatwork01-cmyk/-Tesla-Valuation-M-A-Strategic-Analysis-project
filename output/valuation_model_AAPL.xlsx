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 Analysis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0"/>
    <numFmt numFmtId="167" formatCode="$#,##0.00"/>
    <numFmt numFmtId="168" formatCode="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66"/>
      <sz val="11"/>
    </font>
    <font>
      <name val="Calibri"/>
      <b val="1"/>
      <color rgb="00CC000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8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Apple Inc. (AAPL) — Historical Financial Summary</t>
        </is>
      </c>
    </row>
    <row r="2">
      <c r="A2" s="2" t="inlineStr">
        <is>
          <t>USD Millions ($M)</t>
        </is>
      </c>
    </row>
    <row r="4">
      <c r="A4" s="1" t="inlineStr">
        <is>
          <t>Income Statement</t>
        </is>
      </c>
    </row>
    <row r="5">
      <c r="A5" s="3" t="inlineStr">
        <is>
          <t>Metric</t>
        </is>
      </c>
      <c r="B5" s="3" t="inlineStr">
        <is>
          <t>FY2021</t>
        </is>
      </c>
      <c r="C5" s="3" t="inlineStr">
        <is>
          <t>FY2022</t>
        </is>
      </c>
      <c r="D5" s="3" t="inlineStr">
        <is>
          <t>FY2023</t>
        </is>
      </c>
      <c r="E5" s="3" t="inlineStr">
        <is>
          <t>FY2024</t>
        </is>
      </c>
      <c r="F5" s="3" t="inlineStr">
        <is>
          <t>FY2025E</t>
        </is>
      </c>
    </row>
    <row r="6">
      <c r="A6" s="4" t="inlineStr">
        <is>
          <t>Revenue</t>
        </is>
      </c>
      <c r="B6" s="5" t="n">
        <v>365817</v>
      </c>
      <c r="C6" s="5" t="n">
        <v>394328</v>
      </c>
      <c r="D6" s="5" t="n">
        <v>383285</v>
      </c>
      <c r="E6" s="5" t="n">
        <v>391035</v>
      </c>
      <c r="F6" s="5" t="n">
        <v>415000</v>
      </c>
    </row>
    <row r="7">
      <c r="A7" s="4" t="inlineStr">
        <is>
          <t xml:space="preserve">  Cost of Revenue</t>
        </is>
      </c>
      <c r="B7" s="5" t="n">
        <v>212981</v>
      </c>
      <c r="C7" s="5" t="n">
        <v>223546</v>
      </c>
      <c r="D7" s="5" t="n">
        <v>214137</v>
      </c>
      <c r="E7" s="5" t="n">
        <v>210352</v>
      </c>
      <c r="F7" s="5" t="n">
        <v>223270</v>
      </c>
    </row>
    <row r="8">
      <c r="A8" s="6" t="inlineStr">
        <is>
          <t>Gross Profit</t>
        </is>
      </c>
      <c r="B8" s="7" t="n">
        <v>152836</v>
      </c>
      <c r="C8" s="7" t="n">
        <v>170782</v>
      </c>
      <c r="D8" s="7" t="n">
        <v>169148</v>
      </c>
      <c r="E8" s="7" t="n">
        <v>180683</v>
      </c>
      <c r="F8" s="7" t="n">
        <v>191730</v>
      </c>
    </row>
    <row r="9">
      <c r="A9" s="4" t="inlineStr">
        <is>
          <t xml:space="preserve">  R&amp;D Expense</t>
        </is>
      </c>
      <c r="B9" s="5" t="n">
        <v>21914</v>
      </c>
      <c r="C9" s="5" t="n">
        <v>26251</v>
      </c>
      <c r="D9" s="5" t="n">
        <v>29915</v>
      </c>
      <c r="E9" s="5" t="n">
        <v>31370</v>
      </c>
      <c r="F9" s="5" t="n">
        <v>33500</v>
      </c>
    </row>
    <row r="10">
      <c r="A10" s="4" t="inlineStr">
        <is>
          <t xml:space="preserve">  SG&amp;A Expense</t>
        </is>
      </c>
      <c r="B10" s="5" t="n">
        <v>21973</v>
      </c>
      <c r="C10" s="5" t="n">
        <v>25094</v>
      </c>
      <c r="D10" s="5" t="n">
        <v>24932</v>
      </c>
      <c r="E10" s="5" t="n">
        <v>25700</v>
      </c>
      <c r="F10" s="5" t="n">
        <v>26800</v>
      </c>
    </row>
    <row r="11">
      <c r="A11" s="8" t="inlineStr">
        <is>
          <t>Operating Income (EBIT)</t>
        </is>
      </c>
      <c r="B11" s="5" t="n">
        <v>108949</v>
      </c>
      <c r="C11" s="5" t="n">
        <v>119437</v>
      </c>
      <c r="D11" s="5" t="n">
        <v>114301</v>
      </c>
      <c r="E11" s="5" t="n">
        <v>123613</v>
      </c>
      <c r="F11" s="5" t="n">
        <v>131430</v>
      </c>
    </row>
    <row r="12">
      <c r="A12" s="4" t="inlineStr">
        <is>
          <t xml:space="preserve">  Depreciation &amp; Amort.</t>
        </is>
      </c>
      <c r="B12" s="5" t="n">
        <v>11284</v>
      </c>
      <c r="C12" s="5" t="n">
        <v>11104</v>
      </c>
      <c r="D12" s="5" t="n">
        <v>11519</v>
      </c>
      <c r="E12" s="5" t="n">
        <v>11900</v>
      </c>
      <c r="F12" s="5" t="n">
        <v>12200</v>
      </c>
    </row>
    <row r="13">
      <c r="A13" s="6" t="inlineStr">
        <is>
          <t>EBITDA</t>
        </is>
      </c>
      <c r="B13" s="7" t="n">
        <v>120233</v>
      </c>
      <c r="C13" s="7" t="n">
        <v>130541</v>
      </c>
      <c r="D13" s="7" t="n">
        <v>125820</v>
      </c>
      <c r="E13" s="7" t="n">
        <v>135513</v>
      </c>
      <c r="F13" s="7" t="n">
        <v>143630</v>
      </c>
    </row>
    <row r="14">
      <c r="A14" s="4" t="inlineStr">
        <is>
          <t xml:space="preserve">  Interest Expense</t>
        </is>
      </c>
      <c r="B14" s="5" t="n">
        <v>2645</v>
      </c>
      <c r="C14" s="5" t="n">
        <v>2931</v>
      </c>
      <c r="D14" s="5" t="n">
        <v>3933</v>
      </c>
      <c r="E14" s="5" t="n">
        <v>3800</v>
      </c>
      <c r="F14" s="5" t="n">
        <v>3600</v>
      </c>
    </row>
    <row r="15">
      <c r="A15" s="4" t="inlineStr">
        <is>
          <t xml:space="preserve">  Tax Expense</t>
        </is>
      </c>
      <c r="B15" s="5" t="n">
        <v>14527</v>
      </c>
      <c r="C15" s="5" t="n">
        <v>19300</v>
      </c>
      <c r="D15" s="5" t="n">
        <v>16741</v>
      </c>
      <c r="E15" s="5" t="n">
        <v>19000</v>
      </c>
      <c r="F15" s="5" t="n">
        <v>20200</v>
      </c>
    </row>
    <row r="16">
      <c r="A16" s="9" t="inlineStr">
        <is>
          <t>Net Income</t>
        </is>
      </c>
      <c r="B16" s="10" t="n">
        <v>94680</v>
      </c>
      <c r="C16" s="10" t="n">
        <v>99803</v>
      </c>
      <c r="D16" s="10" t="n">
        <v>96995</v>
      </c>
      <c r="E16" s="10" t="n">
        <v>101500</v>
      </c>
      <c r="F16" s="10" t="n">
        <v>108500</v>
      </c>
    </row>
    <row r="18">
      <c r="A18" s="1" t="inlineStr">
        <is>
          <t>Key Margins</t>
        </is>
      </c>
    </row>
    <row r="19">
      <c r="A19" s="3" t="inlineStr">
        <is>
          <t>Metric</t>
        </is>
      </c>
      <c r="B19" s="3" t="inlineStr">
        <is>
          <t>FY2021</t>
        </is>
      </c>
      <c r="C19" s="3" t="inlineStr">
        <is>
          <t>FY2022</t>
        </is>
      </c>
      <c r="D19" s="3" t="inlineStr">
        <is>
          <t>FY2023</t>
        </is>
      </c>
      <c r="E19" s="3" t="inlineStr">
        <is>
          <t>FY2024</t>
        </is>
      </c>
      <c r="F19" s="3" t="inlineStr">
        <is>
          <t>FY2025E</t>
        </is>
      </c>
    </row>
    <row r="20">
      <c r="A20" s="11" t="inlineStr">
        <is>
          <t>Gross Margin</t>
        </is>
      </c>
      <c r="B20" s="12" t="n">
        <v>0.4177935962516778</v>
      </c>
      <c r="C20" s="12" t="n">
        <v>0.4330963056136009</v>
      </c>
      <c r="D20" s="12" t="n">
        <v>0.4413112957720756</v>
      </c>
      <c r="E20" s="12" t="n">
        <v>0.4620634981523393</v>
      </c>
      <c r="F20" s="12" t="n">
        <v>0.462</v>
      </c>
    </row>
    <row r="21">
      <c r="A21" s="11" t="inlineStr">
        <is>
          <t>EBITDA Margin</t>
        </is>
      </c>
      <c r="B21" s="12" t="n">
        <v>0.3286697993805646</v>
      </c>
      <c r="C21" s="12" t="n">
        <v>0.3310467428130896</v>
      </c>
      <c r="D21" s="12" t="n">
        <v>0.3282674772036474</v>
      </c>
      <c r="E21" s="12" t="n">
        <v>0.3465495416011354</v>
      </c>
      <c r="F21" s="12" t="n">
        <v>0.3460963855421686</v>
      </c>
    </row>
    <row r="22">
      <c r="A22" s="11" t="inlineStr">
        <is>
          <t>Operating Margin</t>
        </is>
      </c>
      <c r="B22" s="12" t="n">
        <v>0.2978237752756159</v>
      </c>
      <c r="C22" s="12" t="n">
        <v>0.3028874439552859</v>
      </c>
      <c r="D22" s="12" t="n">
        <v>0.2982141226502472</v>
      </c>
      <c r="E22" s="12" t="n">
        <v>0.316117483089749</v>
      </c>
      <c r="F22" s="12" t="n">
        <v>0.3166987951807229</v>
      </c>
    </row>
    <row r="23">
      <c r="A23" s="11" t="inlineStr">
        <is>
          <t>Net Margin</t>
        </is>
      </c>
      <c r="B23" s="12" t="n">
        <v>0.2588179335569424</v>
      </c>
      <c r="C23" s="12" t="n">
        <v>0.2530964070519973</v>
      </c>
      <c r="D23" s="12" t="n">
        <v>0.2530623426432028</v>
      </c>
      <c r="E23" s="12" t="n">
        <v>0.2595675578912374</v>
      </c>
      <c r="F23" s="12" t="n">
        <v>0.2614457831325301</v>
      </c>
    </row>
    <row r="24">
      <c r="A24" s="11" t="inlineStr">
        <is>
          <t>Revenue Growth YoY</t>
        </is>
      </c>
      <c r="B24" s="12" t="n"/>
      <c r="C24" s="12" t="n">
        <v>0.07793787604184606</v>
      </c>
      <c r="D24" s="12" t="n">
        <v>-0.02800460530319937</v>
      </c>
      <c r="E24" s="12" t="n">
        <v>0.02021994077514121</v>
      </c>
      <c r="F24" s="12" t="n">
        <v>0.06128607413658624</v>
      </c>
    </row>
    <row r="26">
      <c r="A26" s="1" t="inlineStr">
        <is>
          <t>Balance Sheet</t>
        </is>
      </c>
    </row>
    <row r="27">
      <c r="A27" s="3" t="inlineStr">
        <is>
          <t>Metric</t>
        </is>
      </c>
      <c r="B27" s="3" t="inlineStr">
        <is>
          <t>FY2021</t>
        </is>
      </c>
      <c r="C27" s="3" t="inlineStr">
        <is>
          <t>FY2022</t>
        </is>
      </c>
      <c r="D27" s="3" t="inlineStr">
        <is>
          <t>FY2023</t>
        </is>
      </c>
      <c r="E27" s="3" t="inlineStr">
        <is>
          <t>FY2024</t>
        </is>
      </c>
      <c r="F27" s="3" t="inlineStr">
        <is>
          <t>FY2025E</t>
        </is>
      </c>
    </row>
    <row r="28">
      <c r="A28" s="4" t="inlineStr">
        <is>
          <t>Cash &amp; Equivalents</t>
        </is>
      </c>
      <c r="B28" s="5" t="n">
        <v>34940</v>
      </c>
      <c r="C28" s="5" t="n">
        <v>23646</v>
      </c>
      <c r="D28" s="5" t="n">
        <v>29965</v>
      </c>
      <c r="E28" s="5" t="n">
        <v>32500</v>
      </c>
      <c r="F28" s="5" t="n">
        <v>35000</v>
      </c>
    </row>
    <row r="29">
      <c r="A29" s="4" t="inlineStr">
        <is>
          <t>Current Assets</t>
        </is>
      </c>
      <c r="B29" s="5" t="n">
        <v>134836</v>
      </c>
      <c r="C29" s="5" t="n">
        <v>135405</v>
      </c>
      <c r="D29" s="5" t="n">
        <v>143566</v>
      </c>
      <c r="E29" s="5" t="n">
        <v>148000</v>
      </c>
      <c r="F29" s="5" t="n">
        <v>155000</v>
      </c>
    </row>
    <row r="30">
      <c r="A30" s="6" t="inlineStr">
        <is>
          <t>Total Assets</t>
        </is>
      </c>
      <c r="B30" s="7" t="n">
        <v>351002</v>
      </c>
      <c r="C30" s="7" t="n">
        <v>352755</v>
      </c>
      <c r="D30" s="7" t="n">
        <v>352583</v>
      </c>
      <c r="E30" s="7" t="n">
        <v>360000</v>
      </c>
      <c r="F30" s="7" t="n">
        <v>372000</v>
      </c>
    </row>
    <row r="31">
      <c r="A31" s="4" t="inlineStr">
        <is>
          <t>Current Liabilities</t>
        </is>
      </c>
      <c r="B31" s="5" t="n">
        <v>125481</v>
      </c>
      <c r="C31" s="5" t="n">
        <v>153982</v>
      </c>
      <c r="D31" s="5" t="n">
        <v>145308</v>
      </c>
      <c r="E31" s="5" t="n">
        <v>149000</v>
      </c>
      <c r="F31" s="5" t="n">
        <v>153000</v>
      </c>
    </row>
    <row r="32">
      <c r="A32" s="4" t="inlineStr">
        <is>
          <t>Total Debt</t>
        </is>
      </c>
      <c r="B32" s="5" t="n">
        <v>124719</v>
      </c>
      <c r="C32" s="5" t="n">
        <v>120069</v>
      </c>
      <c r="D32" s="5" t="n">
        <v>111088</v>
      </c>
      <c r="E32" s="5" t="n">
        <v>105000</v>
      </c>
      <c r="F32" s="5" t="n">
        <v>98000</v>
      </c>
    </row>
    <row r="33">
      <c r="A33" s="9" t="inlineStr">
        <is>
          <t>Total Equity</t>
        </is>
      </c>
      <c r="B33" s="10" t="n">
        <v>63090</v>
      </c>
      <c r="C33" s="10" t="n">
        <v>50672</v>
      </c>
      <c r="D33" s="10" t="n">
        <v>62146</v>
      </c>
      <c r="E33" s="10" t="n">
        <v>68000</v>
      </c>
      <c r="F33" s="10" t="n">
        <v>75000</v>
      </c>
    </row>
    <row r="34">
      <c r="A34" s="11" t="inlineStr">
        <is>
          <t>Net Working Capital</t>
        </is>
      </c>
      <c r="B34" s="13" t="n">
        <v>9355</v>
      </c>
      <c r="C34" s="13" t="n">
        <v>-18577</v>
      </c>
      <c r="D34" s="13" t="n">
        <v>-1742</v>
      </c>
      <c r="E34" s="13" t="n">
        <v>-1000</v>
      </c>
      <c r="F34" s="13" t="n">
        <v>2000</v>
      </c>
    </row>
    <row r="35">
      <c r="A35" s="11" t="inlineStr">
        <is>
          <t>Return on Equity (ROE)</t>
        </is>
      </c>
      <c r="B35" s="12" t="n">
        <v>1.500713266761769</v>
      </c>
      <c r="C35" s="12" t="n">
        <v>1.969588727502368</v>
      </c>
      <c r="D35" s="12" t="n">
        <v>1.560760145463908</v>
      </c>
      <c r="E35" s="12" t="n">
        <v>1.492647058823529</v>
      </c>
      <c r="F35" s="12" t="n">
        <v>1.446666666666667</v>
      </c>
    </row>
    <row r="37">
      <c r="A37" s="1" t="inlineStr">
        <is>
          <t>Cash Flow Statement</t>
        </is>
      </c>
    </row>
    <row r="38">
      <c r="A38" s="3" t="inlineStr">
        <is>
          <t>Metric</t>
        </is>
      </c>
      <c r="B38" s="3" t="inlineStr">
        <is>
          <t>FY2021</t>
        </is>
      </c>
      <c r="C38" s="3" t="inlineStr">
        <is>
          <t>FY2022</t>
        </is>
      </c>
      <c r="D38" s="3" t="inlineStr">
        <is>
          <t>FY2023</t>
        </is>
      </c>
      <c r="E38" s="3" t="inlineStr">
        <is>
          <t>FY2024</t>
        </is>
      </c>
      <c r="F38" s="3" t="inlineStr">
        <is>
          <t>FY2025E</t>
        </is>
      </c>
    </row>
    <row r="39">
      <c r="A39" s="4" t="inlineStr">
        <is>
          <t>Operating Cash Flow</t>
        </is>
      </c>
      <c r="B39" s="5" t="n">
        <v>104038</v>
      </c>
      <c r="C39" s="5" t="n">
        <v>122151</v>
      </c>
      <c r="D39" s="5" t="n">
        <v>110543</v>
      </c>
      <c r="E39" s="5" t="n">
        <v>118000</v>
      </c>
      <c r="F39" s="5" t="n">
        <v>126000</v>
      </c>
    </row>
    <row r="40">
      <c r="A40" s="4" t="inlineStr">
        <is>
          <t>Capital Expenditures</t>
        </is>
      </c>
      <c r="B40" s="5" t="n">
        <v>-11085</v>
      </c>
      <c r="C40" s="5" t="n">
        <v>-10708</v>
      </c>
      <c r="D40" s="5" t="n">
        <v>-10959</v>
      </c>
      <c r="E40" s="5" t="n">
        <v>-11500</v>
      </c>
      <c r="F40" s="5" t="n">
        <v>-12000</v>
      </c>
    </row>
    <row r="41">
      <c r="A41" s="9" t="inlineStr">
        <is>
          <t>Free Cash Flow</t>
        </is>
      </c>
      <c r="B41" s="10" t="n">
        <v>92953</v>
      </c>
      <c r="C41" s="10" t="n">
        <v>111443</v>
      </c>
      <c r="D41" s="10" t="n">
        <v>99584</v>
      </c>
      <c r="E41" s="10" t="n">
        <v>106500</v>
      </c>
      <c r="F41" s="10" t="n">
        <v>114000</v>
      </c>
    </row>
    <row r="42">
      <c r="A42" s="11" t="inlineStr">
        <is>
          <t>Shares Outstanding (M)</t>
        </is>
      </c>
      <c r="B42" s="13" t="n">
        <v>15280</v>
      </c>
      <c r="C42" s="13" t="n">
        <v>15280</v>
      </c>
      <c r="D42" s="13" t="n">
        <v>15280</v>
      </c>
      <c r="E42" s="13" t="n">
        <v>15280</v>
      </c>
      <c r="F42" s="13" t="n">
        <v>15280</v>
      </c>
    </row>
  </sheetData>
  <mergeCells count="5">
    <mergeCell ref="A1:F1"/>
    <mergeCell ref="A37:F37"/>
    <mergeCell ref="A18:F18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Discounted Cash Flow (DCF) Valuation Model</t>
        </is>
      </c>
    </row>
    <row r="2">
      <c r="A2" s="2" t="inlineStr">
        <is>
          <t>5-Year projection with Gordon Growth Terminal Value</t>
        </is>
      </c>
    </row>
    <row r="4">
      <c r="A4" s="1" t="inlineStr">
        <is>
          <t>WACC Calculation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/>
    </row>
    <row r="6">
      <c r="A6" s="4" t="inlineStr">
        <is>
          <t>Risk-Free Rate (Rf)</t>
        </is>
      </c>
      <c r="B6" s="14" t="n">
        <v>0.038</v>
      </c>
    </row>
    <row r="7">
      <c r="A7" s="4" t="inlineStr">
        <is>
          <t>Beta (β)</t>
        </is>
      </c>
      <c r="B7" s="15" t="n">
        <v>1.05</v>
      </c>
    </row>
    <row r="8">
      <c r="A8" s="4" t="inlineStr">
        <is>
          <t>Equity Risk Premium (ERP)</t>
        </is>
      </c>
      <c r="B8" s="14" t="n">
        <v>0.05</v>
      </c>
    </row>
    <row r="9">
      <c r="A9" s="4" t="inlineStr">
        <is>
          <t>Cost of Equity (Ke)</t>
        </is>
      </c>
      <c r="B9" s="14" t="n">
        <v>0.0905</v>
      </c>
    </row>
    <row r="10">
      <c r="A10" s="4" t="inlineStr">
        <is>
          <t>Pre-Tax Cost of Debt (Kd)</t>
        </is>
      </c>
      <c r="B10" s="14" t="n">
        <v>0.038</v>
      </c>
    </row>
    <row r="11">
      <c r="A11" s="4" t="inlineStr">
        <is>
          <t>Tax Rate</t>
        </is>
      </c>
      <c r="B11" s="14" t="n">
        <v>0.16</v>
      </c>
    </row>
    <row r="12">
      <c r="A12" s="4" t="inlineStr">
        <is>
          <t>After-Tax Cost of Debt</t>
        </is>
      </c>
      <c r="B12" s="14" t="n">
        <v>0.03192</v>
      </c>
    </row>
    <row r="13">
      <c r="A13" s="4" t="inlineStr">
        <is>
          <t>Equity Weight (E/V)</t>
        </is>
      </c>
      <c r="B13" s="14" t="n">
        <v>0.92</v>
      </c>
    </row>
    <row r="14">
      <c r="A14" s="4" t="inlineStr">
        <is>
          <t>Debt Weight (D/V)</t>
        </is>
      </c>
      <c r="B14" s="14" t="n">
        <v>0.08</v>
      </c>
    </row>
    <row r="15">
      <c r="A15" s="9" t="inlineStr">
        <is>
          <t>WACC</t>
        </is>
      </c>
      <c r="B15" s="16" t="n">
        <v>0.08799999999999999</v>
      </c>
    </row>
    <row r="17">
      <c r="A17" s="1" t="inlineStr">
        <is>
          <t>5-Year Revenue &amp; FCF Projections</t>
        </is>
      </c>
    </row>
    <row r="18">
      <c r="A18" s="3" t="inlineStr">
        <is>
          <t>Metric</t>
        </is>
      </c>
      <c r="B18" s="3" t="inlineStr">
        <is>
          <t>Base (FY2025E)</t>
        </is>
      </c>
      <c r="C18" s="3" t="inlineStr">
        <is>
          <t>FY2026E</t>
        </is>
      </c>
      <c r="D18" s="3" t="inlineStr">
        <is>
          <t>FY2027E</t>
        </is>
      </c>
      <c r="E18" s="3" t="inlineStr">
        <is>
          <t>FY2028E</t>
        </is>
      </c>
      <c r="F18" s="3" t="inlineStr">
        <is>
          <t>FY2029E</t>
        </is>
      </c>
      <c r="G18" s="3" t="inlineStr">
        <is>
          <t>FY2030E</t>
        </is>
      </c>
    </row>
    <row r="19">
      <c r="A19" s="4" t="inlineStr">
        <is>
          <t>Revenue Growth</t>
        </is>
      </c>
      <c r="B19" s="17" t="n"/>
      <c r="C19" s="17" t="n">
        <v>0.065</v>
      </c>
      <c r="D19" s="17" t="n">
        <v>0.06</v>
      </c>
      <c r="E19" s="17" t="n">
        <v>0.055</v>
      </c>
      <c r="F19" s="17" t="n">
        <v>0.05</v>
      </c>
      <c r="G19" s="17" t="n">
        <v>0.045</v>
      </c>
    </row>
    <row r="20">
      <c r="A20" s="4" t="inlineStr">
        <is>
          <t>Revenue</t>
        </is>
      </c>
      <c r="B20" s="5" t="n">
        <v>415000</v>
      </c>
      <c r="C20" s="5" t="n">
        <v>441975</v>
      </c>
      <c r="D20" s="5" t="n">
        <v>468493.5</v>
      </c>
      <c r="E20" s="5" t="n">
        <v>494260.6425</v>
      </c>
      <c r="F20" s="5" t="n">
        <v>518973.674625</v>
      </c>
      <c r="G20" s="5" t="n">
        <v>542327.4899831249</v>
      </c>
    </row>
    <row r="21">
      <c r="A21" s="4" t="inlineStr">
        <is>
          <t>EBITDA Margin</t>
        </is>
      </c>
      <c r="B21" s="17" t="n"/>
      <c r="C21" s="17" t="n">
        <v>0.348</v>
      </c>
      <c r="D21" s="17" t="n">
        <v>0.352</v>
      </c>
      <c r="E21" s="17" t="n">
        <v>0.355</v>
      </c>
      <c r="F21" s="17" t="n">
        <v>0.358</v>
      </c>
      <c r="G21" s="17" t="n">
        <v>0.36</v>
      </c>
    </row>
    <row r="22">
      <c r="A22" s="4" t="inlineStr">
        <is>
          <t>EBITDA</t>
        </is>
      </c>
      <c r="B22" s="5" t="n"/>
      <c r="C22" s="5" t="n">
        <v>153807.3</v>
      </c>
      <c r="D22" s="5" t="n">
        <v>164909.712</v>
      </c>
      <c r="E22" s="5" t="n">
        <v>175462.5280875</v>
      </c>
      <c r="F22" s="5" t="n">
        <v>185792.57551575</v>
      </c>
      <c r="G22" s="5" t="n">
        <v>195237.896393925</v>
      </c>
    </row>
    <row r="23">
      <c r="A23" s="4" t="inlineStr">
        <is>
          <t>D&amp;A</t>
        </is>
      </c>
      <c r="B23" s="5" t="n"/>
      <c r="C23" s="5" t="n">
        <v>12817.275</v>
      </c>
      <c r="D23" s="5" t="n">
        <v>13117.818</v>
      </c>
      <c r="E23" s="5" t="n">
        <v>13345.0373475</v>
      </c>
      <c r="F23" s="5" t="n">
        <v>13493.31554025</v>
      </c>
      <c r="G23" s="5" t="n">
        <v>13558.18724957812</v>
      </c>
    </row>
    <row r="24">
      <c r="A24" s="4" t="inlineStr">
        <is>
          <t>EBIT</t>
        </is>
      </c>
      <c r="B24" s="5" t="n"/>
      <c r="C24" s="5" t="n">
        <v>140990.025</v>
      </c>
      <c r="D24" s="5" t="n">
        <v>151791.894</v>
      </c>
      <c r="E24" s="5" t="n">
        <v>162117.49074</v>
      </c>
      <c r="F24" s="5" t="n">
        <v>172299.2599755</v>
      </c>
      <c r="G24" s="5" t="n">
        <v>181679.7091443468</v>
      </c>
    </row>
    <row r="25">
      <c r="A25" s="4" t="inlineStr">
        <is>
          <t>EBIT × (1 - t)</t>
        </is>
      </c>
      <c r="B25" s="5" t="n"/>
      <c r="C25" s="5" t="n">
        <v>118431.621</v>
      </c>
      <c r="D25" s="5" t="n">
        <v>127505.19096</v>
      </c>
      <c r="E25" s="5" t="n">
        <v>136178.6922216</v>
      </c>
      <c r="F25" s="5" t="n">
        <v>144731.37837942</v>
      </c>
      <c r="G25" s="5" t="n">
        <v>152610.9556812513</v>
      </c>
    </row>
    <row r="26">
      <c r="A26" s="4" t="inlineStr">
        <is>
          <t>+ D&amp;A</t>
        </is>
      </c>
      <c r="B26" s="5" t="n"/>
      <c r="C26" s="5" t="n">
        <v>12817.275</v>
      </c>
      <c r="D26" s="5" t="n">
        <v>13117.818</v>
      </c>
      <c r="E26" s="5" t="n">
        <v>13345.0373475</v>
      </c>
      <c r="F26" s="5" t="n">
        <v>13493.31554025</v>
      </c>
      <c r="G26" s="5" t="n">
        <v>13558.18724957812</v>
      </c>
    </row>
    <row r="27">
      <c r="A27" s="4" t="inlineStr">
        <is>
          <t>- CapEx</t>
        </is>
      </c>
      <c r="B27" s="5" t="n"/>
      <c r="C27" s="5" t="n">
        <v>-12817.275</v>
      </c>
      <c r="D27" s="5" t="n">
        <v>-13117.818</v>
      </c>
      <c r="E27" s="5" t="n">
        <v>-13345.0373475</v>
      </c>
      <c r="F27" s="5" t="n">
        <v>-13493.31554025</v>
      </c>
      <c r="G27" s="5" t="n">
        <v>-13558.18724957812</v>
      </c>
    </row>
    <row r="28">
      <c r="A28" s="4" t="inlineStr">
        <is>
          <t>- Δ NWC</t>
        </is>
      </c>
      <c r="B28" s="5" t="n"/>
      <c r="C28" s="5" t="n">
        <v>109549.625</v>
      </c>
      <c r="D28" s="5" t="n">
        <v>397.7775000000001</v>
      </c>
      <c r="E28" s="5" t="n">
        <v>386.5071374999989</v>
      </c>
      <c r="F28" s="5" t="n">
        <v>370.695481875</v>
      </c>
      <c r="G28" s="5" t="n">
        <v>350.3072303718736</v>
      </c>
    </row>
    <row r="29">
      <c r="A29" s="9" t="inlineStr">
        <is>
          <t>Free Cash Flow (FCF)</t>
        </is>
      </c>
      <c r="B29" s="10" t="n"/>
      <c r="C29" s="10" t="n">
        <v>227981.246</v>
      </c>
      <c r="D29" s="10" t="n">
        <v>127902.96846</v>
      </c>
      <c r="E29" s="10" t="n">
        <v>136565.1993591</v>
      </c>
      <c r="F29" s="10" t="n">
        <v>145102.073861295</v>
      </c>
      <c r="G29" s="10" t="n">
        <v>152961.2629116232</v>
      </c>
    </row>
    <row r="31">
      <c r="A31" s="1" t="inlineStr">
        <is>
          <t>Present Value Calculation</t>
        </is>
      </c>
    </row>
    <row r="32">
      <c r="A32" s="3" t="inlineStr">
        <is>
          <t>Metric</t>
        </is>
      </c>
      <c r="B32" s="3" t="inlineStr"/>
      <c r="C32" s="3" t="inlineStr">
        <is>
          <t>FY2026E</t>
        </is>
      </c>
      <c r="D32" s="3" t="inlineStr">
        <is>
          <t>FY2027E</t>
        </is>
      </c>
      <c r="E32" s="3" t="inlineStr">
        <is>
          <t>FY2028E</t>
        </is>
      </c>
      <c r="F32" s="3" t="inlineStr">
        <is>
          <t>FY2029E</t>
        </is>
      </c>
      <c r="G32" s="3" t="inlineStr">
        <is>
          <t>FY2030E</t>
        </is>
      </c>
    </row>
    <row r="33">
      <c r="A33" s="4" t="inlineStr">
        <is>
          <t>Discount Factor</t>
        </is>
      </c>
      <c r="B33" s="18" t="n"/>
      <c r="C33" s="18" t="n">
        <v>0.9191176470588235</v>
      </c>
      <c r="D33" s="18" t="n">
        <v>0.844777249134948</v>
      </c>
      <c r="E33" s="18" t="n">
        <v>0.7764496775137389</v>
      </c>
      <c r="F33" s="18" t="n">
        <v>0.71364860065601</v>
      </c>
      <c r="G33" s="18" t="n">
        <v>0.6559270226617738</v>
      </c>
    </row>
    <row r="34">
      <c r="A34" s="6" t="inlineStr">
        <is>
          <t>PV of FCF</t>
        </is>
      </c>
      <c r="B34" s="7" t="n"/>
      <c r="C34" s="7" t="n">
        <v>209541.5863970588</v>
      </c>
      <c r="D34" s="7" t="n">
        <v>108049.5178518328</v>
      </c>
      <c r="E34" s="7" t="n">
        <v>106036.0050019727</v>
      </c>
      <c r="F34" s="7" t="n">
        <v>103551.8919633982</v>
      </c>
      <c r="G34" s="7" t="n">
        <v>100331.4257642058</v>
      </c>
    </row>
    <row r="36">
      <c r="A36" s="1" t="inlineStr">
        <is>
          <t>Terminal Value &amp; Enterprise Value Bridge</t>
        </is>
      </c>
    </row>
    <row r="37">
      <c r="A37" s="3" t="inlineStr">
        <is>
          <t>Component</t>
        </is>
      </c>
      <c r="B37" s="3" t="inlineStr">
        <is>
          <t>Value ($M)</t>
        </is>
      </c>
      <c r="C37" s="3" t="inlineStr"/>
      <c r="D37" s="3" t="inlineStr"/>
    </row>
    <row r="38">
      <c r="A38" s="8" t="inlineStr">
        <is>
          <t>Terminal Growth Rate (g)</t>
        </is>
      </c>
      <c r="B38" s="14" t="n">
        <v>0.028</v>
      </c>
    </row>
    <row r="39">
      <c r="A39" s="8" t="inlineStr">
        <is>
          <t>Terminal Year FCF × (1+g)</t>
        </is>
      </c>
      <c r="B39" s="5" t="n">
        <v>157244.1782731487</v>
      </c>
    </row>
    <row r="40">
      <c r="A40" s="8" t="inlineStr">
        <is>
          <t>Terminal Value</t>
        </is>
      </c>
      <c r="B40" s="5" t="n">
        <v>2620736.304552478</v>
      </c>
    </row>
    <row r="41">
      <c r="A41" s="6" t="inlineStr">
        <is>
          <t>PV of Terminal Value</t>
        </is>
      </c>
      <c r="B41" s="7" t="n">
        <v>1719011.761426727</v>
      </c>
    </row>
    <row r="43">
      <c r="A43" s="8" t="inlineStr">
        <is>
          <t>Sum of PV(FCFs)</t>
        </is>
      </c>
      <c r="B43" s="5" t="n">
        <v>627510.4269784682</v>
      </c>
    </row>
    <row r="44">
      <c r="A44" s="8" t="inlineStr">
        <is>
          <t>+ PV of Terminal Value</t>
        </is>
      </c>
      <c r="B44" s="5" t="n">
        <v>1719011.761426727</v>
      </c>
    </row>
    <row r="45">
      <c r="A45" s="6">
        <f> Enterprise Value</f>
        <v/>
      </c>
      <c r="B45" s="7" t="n">
        <v>2346522.188405195</v>
      </c>
    </row>
    <row r="46">
      <c r="A46" s="8" t="inlineStr">
        <is>
          <t>- Net Debt (+ = Cash)</t>
        </is>
      </c>
      <c r="B46" s="5" t="n">
        <v>-63000</v>
      </c>
    </row>
    <row r="47">
      <c r="A47" s="9">
        <f> Equity Value</f>
        <v/>
      </c>
      <c r="B47" s="10" t="n">
        <v>2283522.188405195</v>
      </c>
    </row>
    <row r="48">
      <c r="A48" s="8" t="inlineStr">
        <is>
          <t>/ Shares Outstanding (M)</t>
        </is>
      </c>
      <c r="B48" s="5" t="n">
        <v>15280</v>
      </c>
    </row>
    <row r="49">
      <c r="A49" s="9" t="inlineStr">
        <is>
          <t>Implied Price per Share</t>
        </is>
      </c>
      <c r="B49" s="19" t="n">
        <v>149.4451693982457</v>
      </c>
    </row>
    <row r="51">
      <c r="A51" s="8" t="inlineStr">
        <is>
          <t>Current Market Price</t>
        </is>
      </c>
      <c r="B51" s="20" t="n">
        <v>226</v>
      </c>
    </row>
    <row r="52">
      <c r="A52" s="11" t="inlineStr">
        <is>
          <t>Upside / (Downside)</t>
        </is>
      </c>
      <c r="B52" s="12" t="n">
        <v>-0.3387381885033375</v>
      </c>
    </row>
  </sheetData>
  <mergeCells count="5">
    <mergeCell ref="A1:G1"/>
    <mergeCell ref="A17:G17"/>
    <mergeCell ref="A31:G31"/>
    <mergeCell ref="A4:C4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CC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Comparable Company Analysis</t>
        </is>
      </c>
    </row>
    <row r="2">
      <c r="A2" s="2" t="inlineStr">
        <is>
          <t>Benchmarking Tesla against EV/Auto industry peers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Market Cap ($M)</t>
        </is>
      </c>
      <c r="D4" s="3" t="inlineStr">
        <is>
          <t>EV ($M)</t>
        </is>
      </c>
      <c r="E4" s="3" t="inlineStr">
        <is>
          <t>EV/Revenue</t>
        </is>
      </c>
      <c r="F4" s="3" t="inlineStr">
        <is>
          <t>EV/EBITDA</t>
        </is>
      </c>
      <c r="G4" s="3" t="inlineStr">
        <is>
          <t>P/E</t>
        </is>
      </c>
      <c r="H4" s="3" t="inlineStr">
        <is>
          <t>Rev Growth</t>
        </is>
      </c>
      <c r="I4" s="3" t="inlineStr">
        <is>
          <t>Gross Margin</t>
        </is>
      </c>
    </row>
    <row r="5">
      <c r="A5" s="21" t="inlineStr">
        <is>
          <t>Apple</t>
        </is>
      </c>
      <c r="B5" s="22" t="inlineStr">
        <is>
          <t>AAPL</t>
        </is>
      </c>
      <c r="C5" s="22" t="inlineStr">
        <is>
          <t>N/M</t>
        </is>
      </c>
      <c r="D5" s="22" t="inlineStr">
        <is>
          <t>N/M</t>
        </is>
      </c>
      <c r="E5" s="23" t="n">
        <v>8.470000000000001</v>
      </c>
      <c r="F5" s="23" t="n">
        <v>24.5</v>
      </c>
      <c r="G5" s="23" t="n">
        <v>31.8</v>
      </c>
      <c r="H5" s="24" t="n">
        <v>0.061</v>
      </c>
      <c r="I5" s="24" t="n">
        <v>0.462</v>
      </c>
    </row>
    <row r="6">
      <c r="A6" s="21" t="inlineStr">
        <is>
          <t>Microsoft</t>
        </is>
      </c>
      <c r="B6" s="22" t="inlineStr">
        <is>
          <t>MSFT</t>
        </is>
      </c>
      <c r="C6" s="22" t="inlineStr">
        <is>
          <t>N/M</t>
        </is>
      </c>
      <c r="D6" s="22" t="inlineStr">
        <is>
          <t>N/M</t>
        </is>
      </c>
      <c r="E6" s="23" t="n">
        <v>12.1</v>
      </c>
      <c r="F6" s="23" t="n">
        <v>23.8</v>
      </c>
      <c r="G6" s="23" t="n">
        <v>33.2</v>
      </c>
      <c r="H6" s="24" t="n">
        <v>0.15</v>
      </c>
      <c r="I6" s="24" t="n">
        <v>0.698</v>
      </c>
    </row>
    <row r="7">
      <c r="A7" s="21" t="inlineStr">
        <is>
          <t>Alphabet</t>
        </is>
      </c>
      <c r="B7" s="22" t="inlineStr">
        <is>
          <t>GOOGL</t>
        </is>
      </c>
      <c r="C7" s="22" t="inlineStr">
        <is>
          <t>N/M</t>
        </is>
      </c>
      <c r="D7" s="22" t="inlineStr">
        <is>
          <t>N/M</t>
        </is>
      </c>
      <c r="E7" s="23" t="n">
        <v>6.2</v>
      </c>
      <c r="F7" s="23" t="n">
        <v>17.5</v>
      </c>
      <c r="G7" s="23" t="n">
        <v>23.5</v>
      </c>
      <c r="H7" s="24" t="n">
        <v>0.14</v>
      </c>
      <c r="I7" s="24" t="n">
        <v>0.575</v>
      </c>
    </row>
    <row r="8">
      <c r="A8" s="21" t="inlineStr">
        <is>
          <t>Amazon</t>
        </is>
      </c>
      <c r="B8" s="22" t="inlineStr">
        <is>
          <t>AMZN</t>
        </is>
      </c>
      <c r="C8" s="22" t="inlineStr">
        <is>
          <t>N/M</t>
        </is>
      </c>
      <c r="D8" s="22" t="inlineStr">
        <is>
          <t>N/M</t>
        </is>
      </c>
      <c r="E8" s="23" t="n">
        <v>3.1</v>
      </c>
      <c r="F8" s="23" t="n">
        <v>16.2</v>
      </c>
      <c r="G8" s="23" t="n">
        <v>41</v>
      </c>
      <c r="H8" s="24" t="n">
        <v>0.11</v>
      </c>
      <c r="I8" s="24" t="n">
        <v>0.485</v>
      </c>
    </row>
    <row r="9">
      <c r="A9" s="21" t="inlineStr">
        <is>
          <t>Samsung</t>
        </is>
      </c>
      <c r="B9" s="22" t="inlineStr">
        <is>
          <t>005930.KS</t>
        </is>
      </c>
      <c r="C9" s="22" t="inlineStr">
        <is>
          <t>N/M</t>
        </is>
      </c>
      <c r="D9" s="22" t="inlineStr">
        <is>
          <t>N/M</t>
        </is>
      </c>
      <c r="E9" s="23" t="n">
        <v>1.1</v>
      </c>
      <c r="F9" s="23" t="n">
        <v>7.8</v>
      </c>
      <c r="G9" s="23" t="n">
        <v>12.4</v>
      </c>
      <c r="H9" s="24" t="n">
        <v>0.08</v>
      </c>
      <c r="I9" s="24" t="n">
        <v>0.38</v>
      </c>
    </row>
    <row r="12">
      <c r="A12" s="1" t="inlineStr">
        <is>
          <t>Implied Valuation from Peer Multiples</t>
        </is>
      </c>
    </row>
    <row r="13">
      <c r="A13" s="25" t="inlineStr">
        <is>
          <t>Method</t>
        </is>
      </c>
      <c r="B13" s="25" t="inlineStr">
        <is>
          <t>Peer Median</t>
        </is>
      </c>
      <c r="C13" s="25" t="inlineStr">
        <is>
          <t>Target Metric</t>
        </is>
      </c>
      <c r="D13" s="25" t="inlineStr">
        <is>
          <t>Implied EV ($M)</t>
        </is>
      </c>
      <c r="E13" s="25" t="inlineStr">
        <is>
          <t>Implied Price</t>
        </is>
      </c>
    </row>
    <row r="14">
      <c r="A14" s="26" t="inlineStr">
        <is>
          <t>EV/EBITDA</t>
        </is>
      </c>
      <c r="B14" s="27" t="n">
        <v>17.5</v>
      </c>
      <c r="C14" s="28" t="n">
        <v>143630</v>
      </c>
      <c r="D14" s="28" t="n">
        <v>2513525</v>
      </c>
      <c r="E14" s="29" t="n">
        <v>160.3746727748691</v>
      </c>
    </row>
    <row r="15">
      <c r="A15" s="26" t="inlineStr">
        <is>
          <t>EV/Revenue</t>
        </is>
      </c>
      <c r="B15" s="27" t="n">
        <v>6.2</v>
      </c>
      <c r="C15" s="28" t="n">
        <v>415000</v>
      </c>
      <c r="D15" s="28" t="n">
        <v>2573000</v>
      </c>
      <c r="E15" s="29" t="n">
        <v>164.2670157068063</v>
      </c>
    </row>
    <row r="16">
      <c r="A16" s="26" t="inlineStr">
        <is>
          <t>P/E Ratio</t>
        </is>
      </c>
      <c r="B16" s="27" t="n">
        <v>33.2</v>
      </c>
      <c r="C16" s="28" t="n">
        <v>108500</v>
      </c>
      <c r="D16" s="28" t="n">
        <v>3602200</v>
      </c>
      <c r="E16" s="29" t="n">
        <v>235.7460732984293</v>
      </c>
    </row>
  </sheetData>
  <mergeCells count="2">
    <mergeCell ref="A12:E1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Sensitivity Analysis — Implied Share Price ($)</t>
        </is>
      </c>
    </row>
    <row r="2">
      <c r="A2" s="2" t="inlineStr">
        <is>
          <t>Revenue Growth Δ (rows) × WACC (columns)</t>
        </is>
      </c>
    </row>
    <row r="4">
      <c r="A4" s="3" t="inlineStr">
        <is>
          <t>Rev Growth Δ \ WACC</t>
        </is>
      </c>
      <c r="B4" s="3" t="inlineStr">
        <is>
          <t>7.3%</t>
        </is>
      </c>
      <c r="C4" s="3" t="inlineStr">
        <is>
          <t>7.8%</t>
        </is>
      </c>
      <c r="D4" s="3" t="inlineStr">
        <is>
          <t>8.3%</t>
        </is>
      </c>
      <c r="E4" s="3" t="inlineStr">
        <is>
          <t>8.8%</t>
        </is>
      </c>
      <c r="F4" s="3" t="inlineStr">
        <is>
          <t>9.3%</t>
        </is>
      </c>
      <c r="G4" s="3" t="inlineStr">
        <is>
          <t>9.8%</t>
        </is>
      </c>
      <c r="H4" s="3" t="inlineStr">
        <is>
          <t>10.3%</t>
        </is>
      </c>
    </row>
    <row r="5">
      <c r="A5" s="30" t="inlineStr">
        <is>
          <t>-2%</t>
        </is>
      </c>
      <c r="B5" s="31" t="n">
        <v>182.441358730847</v>
      </c>
      <c r="C5" s="31" t="n">
        <v>164.3344549159276</v>
      </c>
      <c r="D5" s="31" t="n">
        <v>149.5156141881498</v>
      </c>
      <c r="E5" s="32" t="n">
        <v>137.1628637280898</v>
      </c>
      <c r="F5" s="31" t="n">
        <v>126.7071449008901</v>
      </c>
      <c r="G5" s="31" t="n">
        <v>117.7419867677063</v>
      </c>
      <c r="H5" s="31" t="n">
        <v>109.9693101925909</v>
      </c>
    </row>
    <row r="6">
      <c r="A6" s="30" t="inlineStr">
        <is>
          <t>-1%</t>
        </is>
      </c>
      <c r="B6" s="31" t="n">
        <v>190.7007694924487</v>
      </c>
      <c r="C6" s="31" t="n">
        <v>171.7004221477303</v>
      </c>
      <c r="D6" s="31" t="n">
        <v>156.1517031808822</v>
      </c>
      <c r="E6" s="32" t="n">
        <v>143.1917238964</v>
      </c>
      <c r="F6" s="31" t="n">
        <v>132.223099941321</v>
      </c>
      <c r="G6" s="31" t="n">
        <v>122.8191283109994</v>
      </c>
      <c r="H6" s="31" t="n">
        <v>114.6668935533306</v>
      </c>
    </row>
    <row r="7">
      <c r="A7" s="33" t="inlineStr">
        <is>
          <t>+0%</t>
        </is>
      </c>
      <c r="B7" s="32" t="n">
        <v>199.2722524412219</v>
      </c>
      <c r="C7" s="32" t="n">
        <v>179.3433908764118</v>
      </c>
      <c r="D7" s="32" t="n">
        <v>163.0361690946905</v>
      </c>
      <c r="E7" s="34" t="n">
        <v>149.4451693982457</v>
      </c>
      <c r="F7" s="32" t="n">
        <v>137.9435649804117</v>
      </c>
      <c r="G7" s="32" t="n">
        <v>128.0836231419885</v>
      </c>
      <c r="H7" s="32" t="n">
        <v>119.5370072225886</v>
      </c>
    </row>
    <row r="8">
      <c r="A8" s="30" t="inlineStr">
        <is>
          <t>+1%</t>
        </is>
      </c>
      <c r="B8" s="35" t="n">
        <v>208.1647510632552</v>
      </c>
      <c r="C8" s="31" t="n">
        <v>187.2712806262502</v>
      </c>
      <c r="D8" s="31" t="n">
        <v>170.1760961657499</v>
      </c>
      <c r="E8" s="32" t="n">
        <v>155.9295906273799</v>
      </c>
      <c r="F8" s="31" t="n">
        <v>143.874345320534</v>
      </c>
      <c r="G8" s="31" t="n">
        <v>133.5407768709034</v>
      </c>
      <c r="H8" s="31" t="n">
        <v>124.5845253943985</v>
      </c>
    </row>
    <row r="9">
      <c r="A9" s="30" t="inlineStr">
        <is>
          <t>+2%</t>
        </is>
      </c>
      <c r="B9" s="35" t="n">
        <v>217.387379504666</v>
      </c>
      <c r="C9" s="31" t="n">
        <v>195.4921618275537</v>
      </c>
      <c r="D9" s="31" t="n">
        <v>177.5787034281486</v>
      </c>
      <c r="E9" s="32" t="n">
        <v>162.6514994004301</v>
      </c>
      <c r="F9" s="31" t="n">
        <v>150.0213564130736</v>
      </c>
      <c r="G9" s="31" t="n">
        <v>139.195995632981</v>
      </c>
      <c r="H9" s="31" t="n">
        <v>129.8144144827085</v>
      </c>
    </row>
    <row r="12">
      <c r="A12" s="36" t="inlineStr">
        <is>
          <t>Current Market Price: $226.00</t>
        </is>
      </c>
    </row>
    <row r="13">
      <c r="A13" s="2" t="inlineStr">
        <is>
          <t>Green = &gt;10% upside  |  Red = &gt;10% downside</t>
        </is>
      </c>
    </row>
    <row r="14">
      <c r="A14" s="2" t="inlineStr">
        <is>
          <t>Highlighted cells = base case assumptions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2026-09-11T14:34:40Z</dcterms:created>
  <dcterms:modified xmlns:dcterms="http://purl.org/dc/terms/" xmlns:xsi="http://www.w3.org/2001/XMLSchema-instance" xsi:type="dcterms:W3CDTF">2026-09-11T14:34:40Z</dcterms:modified>
</cp:coreProperties>
</file>